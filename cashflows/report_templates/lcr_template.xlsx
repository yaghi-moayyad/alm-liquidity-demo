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oayyadyaghi/Downloads/"/>
    </mc:Choice>
  </mc:AlternateContent>
  <xr:revisionPtr revIDLastSave="0" documentId="13_ncr:1_{0DA07933-0E62-0B49-A9B7-4CC1DEEA2CF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Jordan LCR" sheetId="1" r:id="rId1"/>
    <sheet name="Formula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D96" i="1"/>
  <c r="D95" i="1"/>
  <c r="D94" i="1"/>
  <c r="C6" i="1"/>
  <c r="D32" i="1"/>
  <c r="D31" i="1"/>
  <c r="C32" i="1"/>
  <c r="C25" i="1"/>
  <c r="C77" i="1"/>
  <c r="C95" i="1"/>
  <c r="D51" i="1"/>
  <c r="D48" i="1"/>
  <c r="D47" i="1"/>
  <c r="D45" i="1"/>
  <c r="D19" i="1"/>
  <c r="D25" i="1"/>
  <c r="D93" i="1"/>
  <c r="D92" i="1"/>
  <c r="D91" i="1"/>
  <c r="D90" i="1"/>
  <c r="D89" i="1"/>
  <c r="D88" i="1"/>
  <c r="D87" i="1"/>
  <c r="D86" i="1"/>
  <c r="D85" i="1"/>
  <c r="D83" i="1"/>
  <c r="D82" i="1"/>
  <c r="D81" i="1"/>
  <c r="D80" i="1"/>
  <c r="D77" i="1"/>
  <c r="C96" i="1" s="1"/>
  <c r="D76" i="1"/>
  <c r="D75" i="1"/>
  <c r="D74" i="1"/>
  <c r="D73" i="1"/>
  <c r="D72" i="1"/>
  <c r="D71" i="1"/>
  <c r="D70" i="1"/>
  <c r="D69" i="1"/>
  <c r="D68" i="1"/>
  <c r="D67" i="1"/>
  <c r="D65" i="1"/>
  <c r="D64" i="1"/>
  <c r="D63" i="1"/>
  <c r="D62" i="1"/>
  <c r="D60" i="1"/>
  <c r="D58" i="1"/>
  <c r="D57" i="1"/>
  <c r="D56" i="1"/>
  <c r="D55" i="1"/>
  <c r="D54" i="1"/>
  <c r="D52" i="1"/>
  <c r="D50" i="1"/>
  <c r="D49" i="1"/>
  <c r="D46" i="1"/>
  <c r="D44" i="1"/>
  <c r="D43" i="1"/>
  <c r="D41" i="1"/>
  <c r="D40" i="1"/>
  <c r="D39" i="1"/>
  <c r="D38" i="1"/>
  <c r="D37" i="1"/>
  <c r="D36" i="1"/>
  <c r="D35" i="1"/>
  <c r="D30" i="1"/>
  <c r="D29" i="1"/>
  <c r="D28" i="1"/>
  <c r="D27" i="1"/>
  <c r="D24" i="1"/>
  <c r="D23" i="1"/>
  <c r="D22" i="1"/>
  <c r="D21" i="1"/>
  <c r="D20" i="1"/>
  <c r="C13" i="1"/>
  <c r="D12" i="1"/>
  <c r="D11" i="1"/>
  <c r="D10" i="1"/>
  <c r="D13" i="1" s="1"/>
  <c r="D14" i="1" s="1"/>
  <c r="C9" i="1"/>
  <c r="D8" i="1"/>
  <c r="D9" i="1" s="1"/>
  <c r="D7" i="1"/>
  <c r="D5" i="1"/>
  <c r="D4" i="1"/>
  <c r="D3" i="1"/>
  <c r="D6" i="1" s="1"/>
  <c r="D102" i="1" l="1"/>
  <c r="C16" i="1"/>
  <c r="D15" i="1"/>
  <c r="D16" i="1" s="1"/>
  <c r="D101" i="1" s="1"/>
  <c r="D103" i="1" l="1"/>
</calcChain>
</file>

<file path=xl/sharedStrings.xml><?xml version="1.0" encoding="utf-8"?>
<sst xmlns="http://schemas.openxmlformats.org/spreadsheetml/2006/main" count="127" uniqueCount="110">
  <si>
    <t>Jordan LCR</t>
  </si>
  <si>
    <t>USD 000</t>
  </si>
  <si>
    <t>LCR Exposure</t>
  </si>
  <si>
    <t>LCR Weighted
Amount</t>
  </si>
  <si>
    <t>Coins and banknotes</t>
  </si>
  <si>
    <t>Central Bank Reserves that can be drawn in time of
stress</t>
  </si>
  <si>
    <t>Securities issued or guaranteed by Sovereign, CBs, and
PSEs (0% BII RWA)</t>
  </si>
  <si>
    <t>Total Level 1 Assets</t>
  </si>
  <si>
    <t>Securities issued or guaranteed by Sovereign, CBs, and
PSEs (20% BII RWA)</t>
  </si>
  <si>
    <t>Corporate and Covered bonds rated AA- or higher</t>
  </si>
  <si>
    <t>Total Level 2A Assets</t>
  </si>
  <si>
    <t>Corporate bonds rated BBB- to A+</t>
  </si>
  <si>
    <t>Equities qualified</t>
  </si>
  <si>
    <t>Sovereign or central banks securities rated BBB- to
BBB+</t>
  </si>
  <si>
    <t>Total Level 2B Assets</t>
  </si>
  <si>
    <t>The 15% Cap on Level 2B Assets</t>
  </si>
  <si>
    <t>The 40% Cap on Level 2 Assets</t>
  </si>
  <si>
    <t>Total Stock of HQLA</t>
  </si>
  <si>
    <t>a) Retail Deposits</t>
  </si>
  <si>
    <t>Stable Deposits-Retail</t>
  </si>
  <si>
    <t>Less Stable Deposits-Retail</t>
  </si>
  <si>
    <t>Sum</t>
  </si>
  <si>
    <t>b) Wholesale Deposits</t>
  </si>
  <si>
    <t>Stable Deposits-SMEs</t>
  </si>
  <si>
    <t>Less Stable Deposits-SMEs</t>
  </si>
  <si>
    <t>Wholesale Deposits (operational relationship)</t>
  </si>
  <si>
    <t>SME Insured Operational</t>
  </si>
  <si>
    <t>SME Uninsured Operational</t>
  </si>
  <si>
    <t>Corporates (Insured)</t>
  </si>
  <si>
    <t>Corporates (Uninsured)</t>
  </si>
  <si>
    <t>Central Bank</t>
  </si>
  <si>
    <t>Sov, CBs, PSEs, and MDBs</t>
  </si>
  <si>
    <t>Banks</t>
  </si>
  <si>
    <t>Other Financial Institutions</t>
  </si>
  <si>
    <t>Wholesale Deposits (non-operational)</t>
  </si>
  <si>
    <t>SME Insured Non-Operational</t>
  </si>
  <si>
    <t>SME Uninsured Non-Operational</t>
  </si>
  <si>
    <t>Central Bank Non Operational</t>
  </si>
  <si>
    <t>Unsecured debt issuance</t>
  </si>
  <si>
    <t>Additional balances required to be installed in CB
reserves</t>
  </si>
  <si>
    <t>c) Secured Funding</t>
  </si>
  <si>
    <t>Repo backed by level 1 assets or with local CBs</t>
  </si>
  <si>
    <t>Repo backed by level 2A assets</t>
  </si>
  <si>
    <t>Repo backed by level 2B assets</t>
  </si>
  <si>
    <t>Repo backed by level 2B assets and with 20% RW Sov.</t>
  </si>
  <si>
    <t>Repo backed by other assets</t>
  </si>
  <si>
    <t>d) Additional requirements</t>
  </si>
  <si>
    <t>Net known derivatives payables (=0 if net receivable)</t>
  </si>
  <si>
    <t>Undrawn Committed credit facilities</t>
  </si>
  <si>
    <t>Retail and SMEs</t>
  </si>
  <si>
    <t>Corporates</t>
  </si>
  <si>
    <t>Banks and FI</t>
  </si>
  <si>
    <t>Undrawn committed liquidity facilities:</t>
  </si>
  <si>
    <t>Other FI</t>
  </si>
  <si>
    <t>Other Contingent funding obligations</t>
  </si>
  <si>
    <t>Undrawn Uncommitted credit/Liquidity facilities</t>
  </si>
  <si>
    <t>Trade Finance-related to obligations (Guarantees and
LCs)</t>
  </si>
  <si>
    <t>Guarantees and LCs unrelated to trade finance
obligations</t>
  </si>
  <si>
    <t>Interest Payment</t>
  </si>
  <si>
    <t>Total Cash outflows within 30 days</t>
  </si>
  <si>
    <t>Contractual inflows due in 30 days from fully
performing loans</t>
  </si>
  <si>
    <t>Retail</t>
  </si>
  <si>
    <t>SMEs</t>
  </si>
  <si>
    <t>CBs</t>
  </si>
  <si>
    <t>Financial Institutions</t>
  </si>
  <si>
    <t>Operational relationship deposit</t>
  </si>
  <si>
    <t>Loans and deposits</t>
  </si>
  <si>
    <t>Other entities</t>
  </si>
  <si>
    <t>Repo backed by level 1 assets</t>
  </si>
  <si>
    <t>Net known derivatives receivable</t>
  </si>
  <si>
    <t>Maturing securities</t>
  </si>
  <si>
    <t>Total Inflow within 30 days</t>
  </si>
  <si>
    <t>Total Cap</t>
  </si>
  <si>
    <t>Total Cash (after applying the cap)</t>
  </si>
  <si>
    <t>Total</t>
  </si>
  <si>
    <t>Stock of highly liquid assets</t>
  </si>
  <si>
    <t>Net cash Outflow</t>
  </si>
  <si>
    <t>Liquidity Coverage Ratio</t>
  </si>
  <si>
    <t>Area</t>
  </si>
  <si>
    <t>Formula logic</t>
  </si>
  <si>
    <t>Source / note</t>
  </si>
  <si>
    <t>Weighted amount</t>
  </si>
  <si>
    <t>LCR Weighted Amount = LCR Exposure × factor in column B</t>
  </si>
  <si>
    <t>Applied to each detail input row.</t>
  </si>
  <si>
    <t>Level 2B cap</t>
  </si>
  <si>
    <t>Adjustment = MAX(L2B − 15/85×(L1+L2A), L2B − 15/60×L1, 0)</t>
  </si>
  <si>
    <t>Basel Framework LCR 30.38–30.39</t>
  </si>
  <si>
    <t>Level 2 cap</t>
  </si>
  <si>
    <t>Adjustment = MAX((L2A+L2B−15% adjustment) − 2/3×L1, 0)</t>
  </si>
  <si>
    <t>Inflows cap</t>
  </si>
  <si>
    <t>Eligible inflows = MIN(total weighted inflows, 75% × weighted outflows)</t>
  </si>
  <si>
    <t>CBJ/Basel LCR structure</t>
  </si>
  <si>
    <t>Net cash outflow</t>
  </si>
  <si>
    <t>Weighted outflows − eligible inflows</t>
  </si>
  <si>
    <t>LCR denominator</t>
  </si>
  <si>
    <t>LCR</t>
  </si>
  <si>
    <t>Stock of HQLA ÷ Net cash outflow</t>
  </si>
  <si>
    <t>LCR ratio</t>
  </si>
  <si>
    <t>Source</t>
  </si>
  <si>
    <t>URL</t>
  </si>
  <si>
    <t>Basel Framework – LCR</t>
  </si>
  <si>
    <t>https://www.bis.org/basel_framework/chapter/LCR/30.htm</t>
  </si>
  <si>
    <t>Central Bank of Jordan – LCR disclosure structure</t>
  </si>
  <si>
    <t>https://www.cbj.gov.jo/ebv4.0/root_storage/en/eb_list_page/%D9%85%D8%B1%D9%81%D9%82_2.pdf</t>
  </si>
  <si>
    <t>Retail 'Sum' row</t>
  </si>
  <si>
    <t>SUM of rows 20:24 only</t>
  </si>
  <si>
    <t>The stable-deposit row 19 is separate; this reproduces the photographed subtotal.</t>
  </si>
  <si>
    <t>SME 'Sum' row</t>
  </si>
  <si>
    <t>SUM of rows 28:31 only</t>
  </si>
  <si>
    <t>The stable-deposit row 27 is separate; this reproduces the photographed subtotal.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</si>
</sst>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theme="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9DC3E6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ck">
        <color indexed="64"/>
      </right>
      <top/>
      <bottom style="thick">
        <color theme="1"/>
      </bottom>
      <diagonal/>
    </border>
    <border>
      <left/>
      <right style="thin">
        <color indexed="64"/>
      </right>
      <top/>
      <bottom style="thick">
        <color theme="1"/>
      </bottom>
      <diagonal/>
    </border>
    <border>
      <left style="thick">
        <color indexed="64"/>
      </left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ck">
        <color indexed="64"/>
      </right>
      <top style="thick">
        <color theme="1"/>
      </top>
      <bottom/>
      <diagonal/>
    </border>
    <border>
      <left/>
      <right style="thick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ck">
        <color indexed="64"/>
      </top>
      <bottom style="thick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theme="1"/>
      </right>
      <top style="thick">
        <color indexed="64"/>
      </top>
      <bottom/>
      <diagonal/>
    </border>
    <border>
      <left style="thin">
        <color theme="1"/>
      </left>
      <right style="thick">
        <color theme="1"/>
      </right>
      <top style="thin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/>
      <right style="thick">
        <color indexed="64"/>
      </right>
      <top/>
      <bottom style="thick">
        <color theme="1"/>
      </bottom>
      <diagonal/>
    </border>
    <border>
      <left style="thick">
        <color indexed="64"/>
      </left>
      <right/>
      <top style="thin">
        <color theme="1"/>
      </top>
      <bottom/>
      <diagonal/>
    </border>
    <border>
      <left/>
      <right style="thick">
        <color theme="1"/>
      </right>
      <top style="thin">
        <color theme="1"/>
      </top>
      <bottom/>
      <diagonal/>
    </border>
    <border>
      <left style="thick">
        <color indexed="64"/>
      </left>
      <right/>
      <top style="thin">
        <color theme="1"/>
      </top>
      <bottom style="thick">
        <color theme="1"/>
      </bottom>
      <diagonal/>
    </border>
    <border>
      <left/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/>
      <bottom style="thick">
        <color theme="1"/>
      </bottom>
      <diagonal/>
    </border>
    <border>
      <left style="thin">
        <color theme="1"/>
      </left>
      <right/>
      <top style="thin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2" xfId="0" applyBorder="1"/>
    <xf numFmtId="0" fontId="0" fillId="5" borderId="1" xfId="0" applyFill="1" applyBorder="1" applyAlignment="1">
      <alignment wrapText="1"/>
    </xf>
    <xf numFmtId="9" fontId="0" fillId="5" borderId="1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1" xfId="0" applyBorder="1"/>
    <xf numFmtId="0" fontId="0" fillId="5" borderId="3" xfId="0" applyFill="1" applyBorder="1" applyAlignment="1">
      <alignment wrapText="1"/>
    </xf>
    <xf numFmtId="9" fontId="0" fillId="5" borderId="3" xfId="0" applyNumberForma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1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left" vertical="center" wrapText="1"/>
    </xf>
    <xf numFmtId="0" fontId="0" fillId="3" borderId="36" xfId="0" applyFill="1" applyBorder="1" applyAlignment="1">
      <alignment horizontal="left" vertical="center" wrapText="1"/>
    </xf>
    <xf numFmtId="0" fontId="0" fillId="3" borderId="34" xfId="0" applyFill="1" applyBorder="1" applyAlignment="1">
      <alignment horizontal="left" vertical="center" wrapText="1"/>
    </xf>
    <xf numFmtId="0" fontId="0" fillId="7" borderId="0" xfId="0" applyFill="1"/>
    <xf numFmtId="164" fontId="0" fillId="7" borderId="0" xfId="0" applyNumberFormat="1" applyFill="1"/>
    <xf numFmtId="164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9" fontId="6" fillId="7" borderId="0" xfId="0" applyNumberFormat="1" applyFont="1" applyFill="1" applyAlignment="1">
      <alignment horizontal="center" vertical="center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vertical="center" wrapText="1"/>
    </xf>
    <xf numFmtId="9" fontId="3" fillId="4" borderId="15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 wrapText="1"/>
    </xf>
    <xf numFmtId="9" fontId="0" fillId="4" borderId="30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vertical="center" wrapText="1"/>
    </xf>
    <xf numFmtId="9" fontId="0" fillId="4" borderId="17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9" fontId="0" fillId="4" borderId="33" xfId="0" applyNumberForma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vertical="center" wrapText="1"/>
    </xf>
    <xf numFmtId="9" fontId="0" fillId="4" borderId="18" xfId="0" applyNumberFormat="1" applyFill="1" applyBorder="1" applyAlignment="1">
      <alignment horizontal="center" vertical="center"/>
    </xf>
    <xf numFmtId="0" fontId="0" fillId="3" borderId="24" xfId="0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9" fontId="3" fillId="4" borderId="29" xfId="0" applyNumberFormat="1" applyFont="1" applyFill="1" applyBorder="1" applyAlignment="1">
      <alignment horizontal="center" vertical="center"/>
    </xf>
    <xf numFmtId="9" fontId="2" fillId="4" borderId="17" xfId="0" applyNumberFormat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vertical="center" wrapText="1"/>
    </xf>
    <xf numFmtId="9" fontId="3" fillId="4" borderId="17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vertical="center" wrapText="1"/>
    </xf>
    <xf numFmtId="0" fontId="0" fillId="3" borderId="46" xfId="0" applyFill="1" applyBorder="1" applyAlignment="1">
      <alignment vertical="center" wrapText="1"/>
    </xf>
    <xf numFmtId="9" fontId="0" fillId="4" borderId="37" xfId="0" applyNumberForma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27" xfId="0" applyFont="1" applyFill="1" applyBorder="1" applyAlignment="1">
      <alignment horizontal="left" vertical="center" wrapText="1"/>
    </xf>
    <xf numFmtId="0" fontId="0" fillId="3" borderId="13" xfId="0" applyFill="1" applyBorder="1" applyAlignment="1">
      <alignment vertical="center" wrapText="1"/>
    </xf>
    <xf numFmtId="9" fontId="0" fillId="4" borderId="26" xfId="0" applyNumberFormat="1" applyFill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4" fillId="4" borderId="32" xfId="0" applyNumberFormat="1" applyFont="1" applyFill="1" applyBorder="1" applyAlignment="1">
      <alignment horizontal="center" vertical="center"/>
    </xf>
    <xf numFmtId="164" fontId="4" fillId="4" borderId="17" xfId="0" applyNumberFormat="1" applyFont="1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4" fillId="4" borderId="25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5" fillId="0" borderId="38" xfId="0" applyNumberFormat="1" applyFont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center" vertical="center"/>
    </xf>
    <xf numFmtId="164" fontId="3" fillId="4" borderId="31" xfId="0" applyNumberFormat="1" applyFont="1" applyFill="1" applyBorder="1" applyAlignment="1">
      <alignment horizontal="center" vertical="center"/>
    </xf>
    <xf numFmtId="164" fontId="0" fillId="4" borderId="32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164" fontId="4" fillId="8" borderId="5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 wrapText="1"/>
    </xf>
    <xf numFmtId="9" fontId="2" fillId="8" borderId="17" xfId="0" applyNumberFormat="1" applyFont="1" applyFill="1" applyBorder="1" applyAlignment="1">
      <alignment horizontal="center" vertical="center"/>
    </xf>
    <xf numFmtId="164" fontId="3" fillId="8" borderId="28" xfId="0" applyNumberFormat="1" applyFont="1" applyFill="1" applyBorder="1" applyAlignment="1">
      <alignment horizontal="center" vertical="center"/>
    </xf>
    <xf numFmtId="164" fontId="3" fillId="8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zoomScale="109" workbookViewId="0">
      <selection activeCell="F97" sqref="F97"/>
    </sheetView>
  </sheetViews>
  <sheetFormatPr baseColWidth="10" defaultColWidth="8.83203125" defaultRowHeight="15"/>
  <cols>
    <col min="1" max="1" width="71.1640625" customWidth="1"/>
    <col min="2" max="2" width="10" customWidth="1"/>
    <col min="3" max="4" width="17" customWidth="1"/>
  </cols>
  <sheetData>
    <row r="1" spans="1:7" ht="33.75" customHeight="1">
      <c r="A1" s="13" t="s">
        <v>0</v>
      </c>
      <c r="B1" s="14"/>
      <c r="C1" s="4" t="s">
        <v>1</v>
      </c>
      <c r="D1" s="4"/>
    </row>
    <row r="2" spans="1:7" ht="33.75" customHeight="1" thickTop="1">
      <c r="A2" s="13"/>
      <c r="B2" s="14"/>
      <c r="C2" s="5" t="s">
        <v>2</v>
      </c>
      <c r="D2" s="5" t="s">
        <v>3</v>
      </c>
    </row>
    <row r="3" spans="1:7" ht="33.75" customHeight="1">
      <c r="A3" s="32" t="s">
        <v>4</v>
      </c>
      <c r="B3" s="35">
        <v>1</v>
      </c>
      <c r="C3" s="65">
        <v>197756.18</v>
      </c>
      <c r="D3" s="66">
        <f>B3*C3</f>
        <v>197756.18</v>
      </c>
    </row>
    <row r="4" spans="1:7" ht="57" customHeight="1">
      <c r="A4" s="32" t="s">
        <v>5</v>
      </c>
      <c r="B4" s="35">
        <v>1</v>
      </c>
      <c r="C4" s="65">
        <v>5157487.54</v>
      </c>
      <c r="D4" s="66">
        <f>B4*C4</f>
        <v>5157487.54</v>
      </c>
    </row>
    <row r="5" spans="1:7" ht="36" customHeight="1">
      <c r="A5" s="32" t="s">
        <v>6</v>
      </c>
      <c r="B5" s="35">
        <v>1</v>
      </c>
      <c r="C5" s="65">
        <v>3407187.56</v>
      </c>
      <c r="D5" s="66">
        <f>B5*C5</f>
        <v>3407187.56</v>
      </c>
    </row>
    <row r="6" spans="1:7" ht="52" customHeight="1">
      <c r="A6" s="90" t="s">
        <v>7</v>
      </c>
      <c r="B6" s="91"/>
      <c r="C6" s="88">
        <f>SUM(C3:C5)</f>
        <v>8762431.2799999993</v>
      </c>
      <c r="D6" s="89">
        <f>SUM(D3:D5)</f>
        <v>8762431.2799999993</v>
      </c>
    </row>
    <row r="7" spans="1:7" ht="65.25" customHeight="1">
      <c r="A7" s="32" t="s">
        <v>8</v>
      </c>
      <c r="B7" s="35">
        <v>0.85</v>
      </c>
      <c r="C7" s="65">
        <v>0</v>
      </c>
      <c r="D7" s="66">
        <f>B7*C7</f>
        <v>0</v>
      </c>
    </row>
    <row r="8" spans="1:7" ht="33.75" customHeight="1">
      <c r="A8" s="32" t="s">
        <v>9</v>
      </c>
      <c r="B8" s="35">
        <v>0.85</v>
      </c>
      <c r="C8" s="65">
        <v>0</v>
      </c>
      <c r="D8" s="66">
        <f>B8*C8</f>
        <v>0</v>
      </c>
    </row>
    <row r="9" spans="1:7" ht="33.75" customHeight="1">
      <c r="A9" s="90" t="s">
        <v>10</v>
      </c>
      <c r="B9" s="91"/>
      <c r="C9" s="88">
        <f>SUM(C7:C8)</f>
        <v>0</v>
      </c>
      <c r="D9" s="89">
        <f>SUM(D7:D8)</f>
        <v>0</v>
      </c>
    </row>
    <row r="10" spans="1:7" ht="33.75" customHeight="1">
      <c r="A10" s="32" t="s">
        <v>11</v>
      </c>
      <c r="B10" s="35">
        <v>0.5</v>
      </c>
      <c r="C10" s="65">
        <v>0</v>
      </c>
      <c r="D10" s="66">
        <f>B10*C10</f>
        <v>0</v>
      </c>
    </row>
    <row r="11" spans="1:7" ht="33.75" customHeight="1">
      <c r="A11" s="32" t="s">
        <v>12</v>
      </c>
      <c r="B11" s="35">
        <v>0.5</v>
      </c>
      <c r="C11" s="65">
        <v>2</v>
      </c>
      <c r="D11" s="66">
        <f>B11*C11</f>
        <v>1</v>
      </c>
    </row>
    <row r="12" spans="1:7" ht="57" customHeight="1">
      <c r="A12" s="32" t="s">
        <v>13</v>
      </c>
      <c r="B12" s="35">
        <v>0.5</v>
      </c>
      <c r="C12" s="65">
        <v>3</v>
      </c>
      <c r="D12" s="66">
        <f>B12*C12</f>
        <v>1.5</v>
      </c>
    </row>
    <row r="13" spans="1:7" ht="33.75" customHeight="1">
      <c r="A13" s="90" t="s">
        <v>14</v>
      </c>
      <c r="B13" s="91"/>
      <c r="C13" s="88">
        <f>SUM(C10:C12)</f>
        <v>5</v>
      </c>
      <c r="D13" s="89">
        <f>SUM(D10:D12)</f>
        <v>2.5</v>
      </c>
    </row>
    <row r="14" spans="1:7" ht="33.75" customHeight="1">
      <c r="A14" s="32" t="s">
        <v>15</v>
      </c>
      <c r="B14" s="35"/>
      <c r="C14" s="65"/>
      <c r="D14" s="66">
        <f>MAX(D13-(15/85)*(D6+D9),D13-(15/60)*D6,0)</f>
        <v>0</v>
      </c>
    </row>
    <row r="15" spans="1:7" ht="33.75" customHeight="1" thickBot="1">
      <c r="A15" s="57" t="s">
        <v>16</v>
      </c>
      <c r="B15" s="58"/>
      <c r="C15" s="68"/>
      <c r="D15" s="69">
        <f>MAX((D9+D13-D14)-(2/3)*D6,0)</f>
        <v>0</v>
      </c>
    </row>
    <row r="16" spans="1:7" ht="33.75" customHeight="1" thickTop="1" thickBot="1">
      <c r="A16" s="55" t="s">
        <v>17</v>
      </c>
      <c r="B16" s="56"/>
      <c r="C16" s="70">
        <f>C6+C9+C13</f>
        <v>8762436.2799999993</v>
      </c>
      <c r="D16" s="71">
        <f>D6+D9+D13-D14-D15</f>
        <v>8762433.7799999993</v>
      </c>
      <c r="G16" s="6"/>
    </row>
    <row r="17" spans="1:4" ht="33.75" customHeight="1" thickTop="1" thickBot="1">
      <c r="A17" s="2"/>
      <c r="B17" s="3"/>
      <c r="C17" s="72"/>
      <c r="D17" s="72"/>
    </row>
    <row r="18" spans="1:4" ht="33.75" customHeight="1" thickTop="1">
      <c r="A18" s="45" t="s">
        <v>18</v>
      </c>
      <c r="B18" s="46"/>
      <c r="C18" s="92"/>
      <c r="D18" s="93"/>
    </row>
    <row r="19" spans="1:4" ht="33.75" customHeight="1">
      <c r="A19" s="44" t="s">
        <v>19</v>
      </c>
      <c r="B19" s="35">
        <v>0.15</v>
      </c>
      <c r="C19" s="73">
        <v>1414962.87</v>
      </c>
      <c r="D19" s="66">
        <f>B19*C19</f>
        <v>212244.43050000002</v>
      </c>
    </row>
    <row r="20" spans="1:4" ht="33.75" customHeight="1">
      <c r="A20" s="15" t="s">
        <v>20</v>
      </c>
      <c r="B20" s="35">
        <v>0.2</v>
      </c>
      <c r="C20" s="73">
        <v>644180.62</v>
      </c>
      <c r="D20" s="66">
        <f t="shared" ref="D19:D24" si="0">B20*C20</f>
        <v>128836.12400000001</v>
      </c>
    </row>
    <row r="21" spans="1:4" ht="33.75" customHeight="1">
      <c r="A21" s="16"/>
      <c r="B21" s="35">
        <v>0.25</v>
      </c>
      <c r="C21" s="73">
        <v>820588.8</v>
      </c>
      <c r="D21" s="66">
        <f t="shared" si="0"/>
        <v>205147.2</v>
      </c>
    </row>
    <row r="22" spans="1:4" ht="33.75" customHeight="1">
      <c r="A22" s="16"/>
      <c r="B22" s="35">
        <v>0.3</v>
      </c>
      <c r="C22" s="73">
        <v>1141063.57</v>
      </c>
      <c r="D22" s="66">
        <f t="shared" si="0"/>
        <v>342319.071</v>
      </c>
    </row>
    <row r="23" spans="1:4" ht="33.75" customHeight="1">
      <c r="A23" s="16"/>
      <c r="B23" s="35">
        <v>0.35</v>
      </c>
      <c r="C23" s="73">
        <v>1758245.1</v>
      </c>
      <c r="D23" s="66">
        <f t="shared" si="0"/>
        <v>615385.78500000003</v>
      </c>
    </row>
    <row r="24" spans="1:4" ht="33.75" customHeight="1">
      <c r="A24" s="16"/>
      <c r="B24" s="35">
        <v>0.4</v>
      </c>
      <c r="C24" s="73">
        <v>581390.05000000005</v>
      </c>
      <c r="D24" s="66">
        <f t="shared" si="0"/>
        <v>232556.02000000002</v>
      </c>
    </row>
    <row r="25" spans="1:4" ht="33.75" customHeight="1">
      <c r="A25" s="17"/>
      <c r="B25" s="47" t="s">
        <v>21</v>
      </c>
      <c r="C25" s="74">
        <f>SUM(C20:C24)</f>
        <v>4945468.1399999997</v>
      </c>
      <c r="D25" s="67">
        <f>SUM(D20:D24)</f>
        <v>1524244.2000000002</v>
      </c>
    </row>
    <row r="26" spans="1:4" ht="33.75" customHeight="1">
      <c r="A26" s="48" t="s">
        <v>22</v>
      </c>
      <c r="B26" s="49"/>
      <c r="C26" s="75"/>
      <c r="D26" s="76"/>
    </row>
    <row r="27" spans="1:4" ht="33.75" customHeight="1">
      <c r="A27" s="44" t="s">
        <v>23</v>
      </c>
      <c r="B27" s="35">
        <v>0.15</v>
      </c>
      <c r="C27" s="73">
        <v>86112.72</v>
      </c>
      <c r="D27" s="66">
        <f>B27*C27</f>
        <v>12916.907999999999</v>
      </c>
    </row>
    <row r="28" spans="1:4" ht="33.75" customHeight="1">
      <c r="A28" s="15" t="s">
        <v>24</v>
      </c>
      <c r="B28" s="35">
        <v>0.2</v>
      </c>
      <c r="C28" s="73">
        <v>30955.96</v>
      </c>
      <c r="D28" s="66">
        <f>B28*C28</f>
        <v>6191.192</v>
      </c>
    </row>
    <row r="29" spans="1:4" ht="33.75" customHeight="1">
      <c r="A29" s="16"/>
      <c r="B29" s="35">
        <v>0.25</v>
      </c>
      <c r="C29" s="73">
        <v>41727.54</v>
      </c>
      <c r="D29" s="66">
        <f>B29*C29</f>
        <v>10431.885</v>
      </c>
    </row>
    <row r="30" spans="1:4" ht="33.75" customHeight="1">
      <c r="A30" s="16"/>
      <c r="B30" s="35">
        <v>0.3</v>
      </c>
      <c r="C30" s="73">
        <v>69694.05</v>
      </c>
      <c r="D30" s="66">
        <f>B30*C30</f>
        <v>20908.215</v>
      </c>
    </row>
    <row r="31" spans="1:4" ht="33.75" customHeight="1">
      <c r="A31" s="16"/>
      <c r="B31" s="35">
        <v>0.35</v>
      </c>
      <c r="C31" s="73">
        <v>31208.62</v>
      </c>
      <c r="D31" s="66">
        <f>B31*C31</f>
        <v>10923.017</v>
      </c>
    </row>
    <row r="32" spans="1:4" ht="33.75" customHeight="1">
      <c r="A32" s="17"/>
      <c r="B32" s="47" t="s">
        <v>21</v>
      </c>
      <c r="C32" s="74">
        <f>SUM(C28:C31)</f>
        <v>173586.16999999998</v>
      </c>
      <c r="D32" s="67">
        <f>SUM(D28:D31)</f>
        <v>48454.309000000001</v>
      </c>
    </row>
    <row r="33" spans="1:4" ht="33.75" customHeight="1">
      <c r="A33" s="48" t="s">
        <v>25</v>
      </c>
      <c r="B33" s="49"/>
      <c r="C33" s="75"/>
      <c r="D33" s="76"/>
    </row>
    <row r="34" spans="1:4" ht="33.75" customHeight="1">
      <c r="A34" s="44" t="s">
        <v>26</v>
      </c>
      <c r="B34" s="35">
        <v>0.15</v>
      </c>
      <c r="C34" s="73"/>
      <c r="D34" s="77"/>
    </row>
    <row r="35" spans="1:4" ht="33.75" customHeight="1">
      <c r="A35" s="44" t="s">
        <v>27</v>
      </c>
      <c r="B35" s="35">
        <v>0.25</v>
      </c>
      <c r="C35" s="73">
        <v>0</v>
      </c>
      <c r="D35" s="66">
        <f t="shared" ref="D35:D41" si="1">B35*C35</f>
        <v>0</v>
      </c>
    </row>
    <row r="36" spans="1:4" ht="33.75" customHeight="1">
      <c r="A36" s="44" t="s">
        <v>28</v>
      </c>
      <c r="B36" s="35">
        <v>0.15</v>
      </c>
      <c r="C36" s="73">
        <v>0</v>
      </c>
      <c r="D36" s="66">
        <f t="shared" si="1"/>
        <v>0</v>
      </c>
    </row>
    <row r="37" spans="1:4" ht="33.75" customHeight="1">
      <c r="A37" s="44" t="s">
        <v>29</v>
      </c>
      <c r="B37" s="35">
        <v>0.25</v>
      </c>
      <c r="C37" s="73">
        <v>0</v>
      </c>
      <c r="D37" s="66">
        <f t="shared" si="1"/>
        <v>0</v>
      </c>
    </row>
    <row r="38" spans="1:4" ht="33.75" customHeight="1">
      <c r="A38" s="44" t="s">
        <v>30</v>
      </c>
      <c r="B38" s="35">
        <v>0.25</v>
      </c>
      <c r="C38" s="73">
        <v>0</v>
      </c>
      <c r="D38" s="66">
        <f t="shared" si="1"/>
        <v>0</v>
      </c>
    </row>
    <row r="39" spans="1:4" ht="33.75" customHeight="1">
      <c r="A39" s="44" t="s">
        <v>31</v>
      </c>
      <c r="B39" s="35">
        <v>0.25</v>
      </c>
      <c r="C39" s="73">
        <v>0</v>
      </c>
      <c r="D39" s="66">
        <f t="shared" si="1"/>
        <v>0</v>
      </c>
    </row>
    <row r="40" spans="1:4" ht="33.75" customHeight="1">
      <c r="A40" s="44" t="s">
        <v>32</v>
      </c>
      <c r="B40" s="35">
        <v>0.25</v>
      </c>
      <c r="C40" s="73">
        <v>0</v>
      </c>
      <c r="D40" s="66">
        <f t="shared" si="1"/>
        <v>0</v>
      </c>
    </row>
    <row r="41" spans="1:4" ht="33.75" customHeight="1">
      <c r="A41" s="44" t="s">
        <v>33</v>
      </c>
      <c r="B41" s="35">
        <v>0.25</v>
      </c>
      <c r="C41" s="73">
        <v>0</v>
      </c>
      <c r="D41" s="66">
        <f t="shared" si="1"/>
        <v>0</v>
      </c>
    </row>
    <row r="42" spans="1:4" ht="33.75" customHeight="1">
      <c r="A42" s="48" t="s">
        <v>34</v>
      </c>
      <c r="B42" s="49"/>
      <c r="C42" s="75"/>
      <c r="D42" s="76"/>
    </row>
    <row r="43" spans="1:4" ht="33.75" customHeight="1">
      <c r="A43" s="44" t="s">
        <v>35</v>
      </c>
      <c r="B43" s="35">
        <v>0.2</v>
      </c>
      <c r="C43" s="73">
        <v>87.19</v>
      </c>
      <c r="D43" s="66">
        <f t="shared" ref="D43:D52" si="2">B43*C43</f>
        <v>17.437999999999999</v>
      </c>
    </row>
    <row r="44" spans="1:4" ht="33.75" customHeight="1">
      <c r="A44" s="44" t="s">
        <v>36</v>
      </c>
      <c r="B44" s="35">
        <v>0.4</v>
      </c>
      <c r="C44" s="73">
        <v>315924.51</v>
      </c>
      <c r="D44" s="66">
        <f t="shared" si="2"/>
        <v>126369.804</v>
      </c>
    </row>
    <row r="45" spans="1:4" ht="33.75" customHeight="1">
      <c r="A45" s="44" t="s">
        <v>28</v>
      </c>
      <c r="B45" s="35">
        <v>0.2</v>
      </c>
      <c r="C45" s="73">
        <v>22695.39</v>
      </c>
      <c r="D45" s="66">
        <f>B45*C45</f>
        <v>4539.0780000000004</v>
      </c>
    </row>
    <row r="46" spans="1:4" ht="33.75" customHeight="1">
      <c r="A46" s="44" t="s">
        <v>29</v>
      </c>
      <c r="B46" s="35">
        <v>0.4</v>
      </c>
      <c r="C46" s="73">
        <v>1496839.42</v>
      </c>
      <c r="D46" s="66">
        <f t="shared" si="2"/>
        <v>598735.76800000004</v>
      </c>
    </row>
    <row r="47" spans="1:4" ht="33.75" customHeight="1">
      <c r="A47" s="44" t="s">
        <v>37</v>
      </c>
      <c r="B47" s="35">
        <v>0.4</v>
      </c>
      <c r="C47" s="73">
        <v>0</v>
      </c>
      <c r="D47" s="66">
        <f>B47*C47</f>
        <v>0</v>
      </c>
    </row>
    <row r="48" spans="1:4" ht="33.75" customHeight="1">
      <c r="A48" s="44" t="s">
        <v>31</v>
      </c>
      <c r="B48" s="35">
        <v>0.4</v>
      </c>
      <c r="C48" s="73">
        <v>482037.78</v>
      </c>
      <c r="D48" s="66">
        <f>B48*C48</f>
        <v>192815.11200000002</v>
      </c>
    </row>
    <row r="49" spans="1:4" ht="33.75" customHeight="1">
      <c r="A49" s="44" t="s">
        <v>32</v>
      </c>
      <c r="B49" s="35">
        <v>1</v>
      </c>
      <c r="C49" s="73">
        <v>2388546.14</v>
      </c>
      <c r="D49" s="66">
        <f t="shared" si="2"/>
        <v>2388546.14</v>
      </c>
    </row>
    <row r="50" spans="1:4" ht="33.75" customHeight="1">
      <c r="A50" s="44" t="s">
        <v>33</v>
      </c>
      <c r="B50" s="35">
        <v>1</v>
      </c>
      <c r="C50" s="73">
        <v>43007</v>
      </c>
      <c r="D50" s="66">
        <f t="shared" si="2"/>
        <v>43007</v>
      </c>
    </row>
    <row r="51" spans="1:4" ht="33.75" customHeight="1">
      <c r="A51" s="44" t="s">
        <v>38</v>
      </c>
      <c r="B51" s="35">
        <v>1</v>
      </c>
      <c r="C51" s="73">
        <v>1366.49</v>
      </c>
      <c r="D51" s="66">
        <f>B51*C51</f>
        <v>1366.49</v>
      </c>
    </row>
    <row r="52" spans="1:4" ht="57" customHeight="1">
      <c r="A52" s="44" t="s">
        <v>39</v>
      </c>
      <c r="B52" s="35">
        <v>1</v>
      </c>
      <c r="C52" s="73">
        <v>0</v>
      </c>
      <c r="D52" s="66">
        <f t="shared" si="2"/>
        <v>0</v>
      </c>
    </row>
    <row r="53" spans="1:4" ht="33.75" customHeight="1">
      <c r="A53" s="48" t="s">
        <v>40</v>
      </c>
      <c r="B53" s="49"/>
      <c r="C53" s="75"/>
      <c r="D53" s="76"/>
    </row>
    <row r="54" spans="1:4" ht="33.75" customHeight="1">
      <c r="A54" s="44" t="s">
        <v>41</v>
      </c>
      <c r="B54" s="35">
        <v>0</v>
      </c>
      <c r="C54" s="73">
        <v>0</v>
      </c>
      <c r="D54" s="66">
        <f>B54*C54</f>
        <v>0</v>
      </c>
    </row>
    <row r="55" spans="1:4" ht="33.75" customHeight="1">
      <c r="A55" s="44" t="s">
        <v>42</v>
      </c>
      <c r="B55" s="35">
        <v>0.15</v>
      </c>
      <c r="C55" s="73">
        <v>0</v>
      </c>
      <c r="D55" s="66">
        <f>B55*C55</f>
        <v>0</v>
      </c>
    </row>
    <row r="56" spans="1:4" ht="33.75" customHeight="1">
      <c r="A56" s="44" t="s">
        <v>43</v>
      </c>
      <c r="B56" s="35">
        <v>0.25</v>
      </c>
      <c r="C56" s="73">
        <v>0</v>
      </c>
      <c r="D56" s="66">
        <f>B56*C56</f>
        <v>0</v>
      </c>
    </row>
    <row r="57" spans="1:4" ht="33.75" customHeight="1">
      <c r="A57" s="44" t="s">
        <v>44</v>
      </c>
      <c r="B57" s="35">
        <v>0.5</v>
      </c>
      <c r="C57" s="73">
        <v>0</v>
      </c>
      <c r="D57" s="66">
        <f>B57*C57</f>
        <v>0</v>
      </c>
    </row>
    <row r="58" spans="1:4" ht="33.75" customHeight="1">
      <c r="A58" s="44" t="s">
        <v>45</v>
      </c>
      <c r="B58" s="35">
        <v>1</v>
      </c>
      <c r="C58" s="73">
        <v>0</v>
      </c>
      <c r="D58" s="66">
        <f>B58*C58</f>
        <v>0</v>
      </c>
    </row>
    <row r="59" spans="1:4" ht="33.75" customHeight="1">
      <c r="A59" s="48" t="s">
        <v>46</v>
      </c>
      <c r="B59" s="49"/>
      <c r="C59" s="75"/>
      <c r="D59" s="76"/>
    </row>
    <row r="60" spans="1:4" ht="33.75" customHeight="1">
      <c r="A60" s="44" t="s">
        <v>47</v>
      </c>
      <c r="B60" s="35">
        <v>1</v>
      </c>
      <c r="C60" s="73">
        <v>0</v>
      </c>
      <c r="D60" s="66">
        <f>B60*C60</f>
        <v>0</v>
      </c>
    </row>
    <row r="61" spans="1:4" ht="33.75" customHeight="1">
      <c r="A61" s="50" t="s">
        <v>48</v>
      </c>
      <c r="B61" s="49"/>
      <c r="C61" s="78"/>
      <c r="D61" s="79"/>
    </row>
    <row r="62" spans="1:4" ht="33.75" customHeight="1">
      <c r="A62" s="44" t="s">
        <v>49</v>
      </c>
      <c r="B62" s="35">
        <v>0.05</v>
      </c>
      <c r="C62" s="73">
        <v>904.81</v>
      </c>
      <c r="D62" s="66">
        <f>B62*C62</f>
        <v>45.240499999999997</v>
      </c>
    </row>
    <row r="63" spans="1:4" ht="33.75" customHeight="1">
      <c r="A63" s="44" t="s">
        <v>50</v>
      </c>
      <c r="B63" s="35">
        <v>0.1</v>
      </c>
      <c r="C63" s="73">
        <v>81992.429999999993</v>
      </c>
      <c r="D63" s="66">
        <f>B63*C63</f>
        <v>8199.2430000000004</v>
      </c>
    </row>
    <row r="64" spans="1:4" ht="33.75" customHeight="1">
      <c r="A64" s="44" t="s">
        <v>31</v>
      </c>
      <c r="B64" s="35">
        <v>0.1</v>
      </c>
      <c r="C64" s="73">
        <v>31383.74</v>
      </c>
      <c r="D64" s="66">
        <f>B64*C64</f>
        <v>3138.3740000000003</v>
      </c>
    </row>
    <row r="65" spans="1:4" ht="33.75" customHeight="1">
      <c r="A65" s="44" t="s">
        <v>51</v>
      </c>
      <c r="B65" s="35">
        <v>0.4</v>
      </c>
      <c r="C65" s="73">
        <v>0</v>
      </c>
      <c r="D65" s="66">
        <f>B65*C65</f>
        <v>0</v>
      </c>
    </row>
    <row r="66" spans="1:4" ht="33.75" customHeight="1">
      <c r="A66" s="50" t="s">
        <v>52</v>
      </c>
      <c r="B66" s="49"/>
      <c r="C66" s="78"/>
      <c r="D66" s="79"/>
    </row>
    <row r="67" spans="1:4" ht="33.75" customHeight="1">
      <c r="A67" s="44" t="s">
        <v>49</v>
      </c>
      <c r="B67" s="35">
        <v>0.05</v>
      </c>
      <c r="C67" s="73">
        <v>0</v>
      </c>
      <c r="D67" s="66">
        <f t="shared" ref="D67:D76" si="3">B67*C67</f>
        <v>0</v>
      </c>
    </row>
    <row r="68" spans="1:4" ht="33.75" customHeight="1">
      <c r="A68" s="44" t="s">
        <v>50</v>
      </c>
      <c r="B68" s="35">
        <v>0.3</v>
      </c>
      <c r="C68" s="73">
        <v>0</v>
      </c>
      <c r="D68" s="66">
        <f t="shared" si="3"/>
        <v>0</v>
      </c>
    </row>
    <row r="69" spans="1:4" ht="33.75" customHeight="1">
      <c r="A69" s="44" t="s">
        <v>31</v>
      </c>
      <c r="B69" s="35">
        <v>0.3</v>
      </c>
      <c r="C69" s="73">
        <v>0</v>
      </c>
      <c r="D69" s="66">
        <f t="shared" si="3"/>
        <v>0</v>
      </c>
    </row>
    <row r="70" spans="1:4" ht="33.75" customHeight="1">
      <c r="A70" s="44" t="s">
        <v>32</v>
      </c>
      <c r="B70" s="35">
        <v>0.4</v>
      </c>
      <c r="C70" s="73">
        <v>0</v>
      </c>
      <c r="D70" s="66">
        <f t="shared" si="3"/>
        <v>0</v>
      </c>
    </row>
    <row r="71" spans="1:4" ht="33.75" customHeight="1">
      <c r="A71" s="44" t="s">
        <v>53</v>
      </c>
      <c r="B71" s="35">
        <v>1</v>
      </c>
      <c r="C71" s="73">
        <v>0</v>
      </c>
      <c r="D71" s="66">
        <f t="shared" si="3"/>
        <v>0</v>
      </c>
    </row>
    <row r="72" spans="1:4" ht="33.75" customHeight="1">
      <c r="A72" s="44" t="s">
        <v>54</v>
      </c>
      <c r="B72" s="35">
        <v>1</v>
      </c>
      <c r="C72" s="73">
        <v>0</v>
      </c>
      <c r="D72" s="66">
        <f t="shared" si="3"/>
        <v>0</v>
      </c>
    </row>
    <row r="73" spans="1:4" ht="33.75" customHeight="1">
      <c r="A73" s="44" t="s">
        <v>55</v>
      </c>
      <c r="B73" s="35">
        <v>0.05</v>
      </c>
      <c r="C73" s="73">
        <v>1469299.19</v>
      </c>
      <c r="D73" s="66">
        <f t="shared" si="3"/>
        <v>73464.959499999997</v>
      </c>
    </row>
    <row r="74" spans="1:4" ht="57" customHeight="1">
      <c r="A74" s="44" t="s">
        <v>56</v>
      </c>
      <c r="B74" s="35">
        <v>0.05</v>
      </c>
      <c r="C74" s="73">
        <v>878000.18</v>
      </c>
      <c r="D74" s="66">
        <f t="shared" si="3"/>
        <v>43900.009000000005</v>
      </c>
    </row>
    <row r="75" spans="1:4" ht="57" customHeight="1">
      <c r="A75" s="44" t="s">
        <v>57</v>
      </c>
      <c r="B75" s="35">
        <v>0.05</v>
      </c>
      <c r="C75" s="73">
        <v>1032934.74</v>
      </c>
      <c r="D75" s="66">
        <f t="shared" si="3"/>
        <v>51646.737000000001</v>
      </c>
    </row>
    <row r="76" spans="1:4" ht="33.75" customHeight="1" thickBot="1">
      <c r="A76" s="51" t="s">
        <v>58</v>
      </c>
      <c r="B76" s="52">
        <v>1</v>
      </c>
      <c r="C76" s="80">
        <v>225678.58</v>
      </c>
      <c r="D76" s="81">
        <f t="shared" si="3"/>
        <v>225678.58</v>
      </c>
    </row>
    <row r="77" spans="1:4" ht="33.75" customHeight="1" thickTop="1" thickBot="1">
      <c r="A77" s="53" t="s">
        <v>59</v>
      </c>
      <c r="B77" s="54"/>
      <c r="C77" s="82">
        <f>SUM(C19:C24,C27:C31,C34:C41,C43:C52,C54:C58,C60,C62:C65,C67:C76)</f>
        <v>15090827.49</v>
      </c>
      <c r="D77" s="83">
        <f>SUM(D19:D24,D27:D31,D34:D41,D43:D52,D54:D58,D60,D62:D65,D67:D76)</f>
        <v>5559329.8204999994</v>
      </c>
    </row>
    <row r="78" spans="1:4" ht="33.75" customHeight="1" thickTop="1" thickBot="1">
      <c r="A78" s="7"/>
      <c r="B78" s="8"/>
      <c r="C78" s="72"/>
      <c r="D78" s="72"/>
    </row>
    <row r="79" spans="1:4" ht="57" customHeight="1" thickTop="1">
      <c r="A79" s="30" t="s">
        <v>60</v>
      </c>
      <c r="B79" s="31"/>
      <c r="C79" s="84"/>
      <c r="D79" s="85"/>
    </row>
    <row r="80" spans="1:4" ht="33.75" customHeight="1">
      <c r="A80" s="32" t="s">
        <v>61</v>
      </c>
      <c r="B80" s="33">
        <v>0.5</v>
      </c>
      <c r="C80" s="59">
        <v>19610.16</v>
      </c>
      <c r="D80" s="60">
        <f>B80*C80</f>
        <v>9805.08</v>
      </c>
    </row>
    <row r="81" spans="1:4" ht="33.75" customHeight="1">
      <c r="A81" s="34" t="s">
        <v>62</v>
      </c>
      <c r="B81" s="35">
        <v>0.5</v>
      </c>
      <c r="C81" s="59">
        <v>29544.04</v>
      </c>
      <c r="D81" s="60">
        <f>B81*C81</f>
        <v>14772.02</v>
      </c>
    </row>
    <row r="82" spans="1:4" ht="33.75" customHeight="1">
      <c r="A82" s="36" t="s">
        <v>50</v>
      </c>
      <c r="B82" s="35">
        <v>0.5</v>
      </c>
      <c r="C82" s="59">
        <v>293183.2</v>
      </c>
      <c r="D82" s="60">
        <f>B82*C82</f>
        <v>146591.6</v>
      </c>
    </row>
    <row r="83" spans="1:4" ht="33.75" customHeight="1">
      <c r="A83" s="37" t="s">
        <v>63</v>
      </c>
      <c r="B83" s="35">
        <v>1</v>
      </c>
      <c r="C83" s="59">
        <v>0</v>
      </c>
      <c r="D83" s="60">
        <f>B83*C83</f>
        <v>0</v>
      </c>
    </row>
    <row r="84" spans="1:4" ht="33.75" customHeight="1">
      <c r="A84" s="38" t="s">
        <v>64</v>
      </c>
      <c r="B84" s="35"/>
      <c r="C84" s="86"/>
      <c r="D84" s="87"/>
    </row>
    <row r="85" spans="1:4" ht="33.75" customHeight="1">
      <c r="A85" s="39" t="s">
        <v>65</v>
      </c>
      <c r="B85" s="40">
        <v>0</v>
      </c>
      <c r="C85" s="59">
        <v>0</v>
      </c>
      <c r="D85" s="60">
        <f t="shared" ref="D85:D94" si="4">B85*C85</f>
        <v>0</v>
      </c>
    </row>
    <row r="86" spans="1:4" ht="33.75" customHeight="1">
      <c r="A86" s="32" t="s">
        <v>66</v>
      </c>
      <c r="B86" s="35">
        <v>1</v>
      </c>
      <c r="C86" s="59">
        <v>2247873.44</v>
      </c>
      <c r="D86" s="60">
        <f t="shared" si="4"/>
        <v>2247873.44</v>
      </c>
    </row>
    <row r="87" spans="1:4" ht="33.75" customHeight="1">
      <c r="A87" s="32" t="s">
        <v>67</v>
      </c>
      <c r="B87" s="35">
        <v>0.5</v>
      </c>
      <c r="C87" s="59">
        <v>3395.09</v>
      </c>
      <c r="D87" s="60">
        <f t="shared" si="4"/>
        <v>1697.5450000000001</v>
      </c>
    </row>
    <row r="88" spans="1:4" ht="33.75" customHeight="1">
      <c r="A88" s="32" t="s">
        <v>68</v>
      </c>
      <c r="B88" s="40">
        <v>0</v>
      </c>
      <c r="C88" s="59">
        <v>0</v>
      </c>
      <c r="D88" s="60">
        <f t="shared" si="4"/>
        <v>0</v>
      </c>
    </row>
    <row r="89" spans="1:4" ht="33.75" customHeight="1">
      <c r="A89" s="32" t="s">
        <v>42</v>
      </c>
      <c r="B89" s="33">
        <v>0.15</v>
      </c>
      <c r="C89" s="59">
        <v>0</v>
      </c>
      <c r="D89" s="60">
        <f t="shared" si="4"/>
        <v>0</v>
      </c>
    </row>
    <row r="90" spans="1:4" ht="33.75" customHeight="1">
      <c r="A90" s="32" t="s">
        <v>43</v>
      </c>
      <c r="B90" s="35">
        <v>0.5</v>
      </c>
      <c r="C90" s="59">
        <v>0</v>
      </c>
      <c r="D90" s="60">
        <f t="shared" si="4"/>
        <v>0</v>
      </c>
    </row>
    <row r="91" spans="1:4" ht="33.75" customHeight="1">
      <c r="A91" s="32" t="s">
        <v>44</v>
      </c>
      <c r="B91" s="41">
        <v>0.5</v>
      </c>
      <c r="C91" s="59">
        <v>0</v>
      </c>
      <c r="D91" s="60">
        <f t="shared" si="4"/>
        <v>0</v>
      </c>
    </row>
    <row r="92" spans="1:4" ht="33.75" customHeight="1">
      <c r="A92" s="42" t="s">
        <v>45</v>
      </c>
      <c r="B92" s="43">
        <v>1</v>
      </c>
      <c r="C92" s="59">
        <v>0</v>
      </c>
      <c r="D92" s="60">
        <f t="shared" si="4"/>
        <v>0</v>
      </c>
    </row>
    <row r="93" spans="1:4" ht="33.75" customHeight="1">
      <c r="A93" s="32" t="s">
        <v>69</v>
      </c>
      <c r="B93" s="43">
        <v>1</v>
      </c>
      <c r="C93" s="59">
        <v>12952.73</v>
      </c>
      <c r="D93" s="60">
        <f t="shared" si="4"/>
        <v>12952.73</v>
      </c>
    </row>
    <row r="94" spans="1:4" ht="33.75" customHeight="1">
      <c r="A94" s="32" t="s">
        <v>70</v>
      </c>
      <c r="B94" s="43">
        <v>1</v>
      </c>
      <c r="C94" s="59"/>
      <c r="D94" s="60">
        <f>B94*C94</f>
        <v>0</v>
      </c>
    </row>
    <row r="95" spans="1:4" ht="33.75" customHeight="1">
      <c r="A95" s="26" t="s">
        <v>71</v>
      </c>
      <c r="B95" s="27"/>
      <c r="C95" s="61">
        <f>SUM(C80:C94)</f>
        <v>2606558.6599999997</v>
      </c>
      <c r="D95" s="62">
        <f>SUM(D80:D94)</f>
        <v>2433692.415</v>
      </c>
    </row>
    <row r="96" spans="1:4" ht="33.75" customHeight="1">
      <c r="A96" s="26" t="s">
        <v>72</v>
      </c>
      <c r="B96" s="27"/>
      <c r="C96" s="61">
        <f>D77*75%</f>
        <v>4169497.3653749996</v>
      </c>
      <c r="D96" s="62">
        <f>MIN(D95,C96)</f>
        <v>2433692.415</v>
      </c>
    </row>
    <row r="97" spans="1:4" ht="33.75" customHeight="1" thickBot="1">
      <c r="A97" s="28" t="s">
        <v>73</v>
      </c>
      <c r="B97" s="29"/>
      <c r="C97" s="63"/>
      <c r="D97" s="64">
        <f>MIN(D95,C96)</f>
        <v>2433692.415</v>
      </c>
    </row>
    <row r="98" spans="1:4" ht="33.75" customHeight="1" thickTop="1">
      <c r="A98" s="1"/>
      <c r="B98" s="1"/>
      <c r="C98" s="9"/>
      <c r="D98" s="9"/>
    </row>
    <row r="99" spans="1:4" ht="33.75" customHeight="1">
      <c r="C99" s="10"/>
      <c r="D99" s="10"/>
    </row>
    <row r="100" spans="1:4" ht="33.75" customHeight="1">
      <c r="A100" s="18"/>
      <c r="B100" s="18"/>
      <c r="C100" s="19"/>
      <c r="D100" s="20" t="s">
        <v>74</v>
      </c>
    </row>
    <row r="101" spans="1:4" ht="33.75" customHeight="1">
      <c r="A101" s="21" t="s">
        <v>75</v>
      </c>
      <c r="B101" s="21"/>
      <c r="C101" s="19"/>
      <c r="D101" s="22">
        <f>D16</f>
        <v>8762433.7799999993</v>
      </c>
    </row>
    <row r="102" spans="1:4" ht="33.75" customHeight="1">
      <c r="A102" s="21" t="s">
        <v>76</v>
      </c>
      <c r="B102" s="21"/>
      <c r="C102" s="23"/>
      <c r="D102" s="22">
        <f>D77-D97</f>
        <v>3125637.4054999994</v>
      </c>
    </row>
    <row r="103" spans="1:4" ht="33.75" customHeight="1">
      <c r="A103" s="21" t="s">
        <v>77</v>
      </c>
      <c r="B103" s="21"/>
      <c r="C103" s="24"/>
      <c r="D103" s="25">
        <f>IFERROR(D101/D102,0)</f>
        <v>2.8034069993471613</v>
      </c>
    </row>
  </sheetData>
  <mergeCells count="8">
    <mergeCell ref="A1:B2"/>
    <mergeCell ref="A16:B16"/>
    <mergeCell ref="A95:B95"/>
    <mergeCell ref="A96:B96"/>
    <mergeCell ref="A97:B97"/>
    <mergeCell ref="A20:A25"/>
    <mergeCell ref="A77:B77"/>
    <mergeCell ref="A28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/>
  <cols>
    <col min="1" max="1" width="24" customWidth="1"/>
    <col min="2" max="2" width="64" customWidth="1"/>
    <col min="3" max="3" width="34" customWidth="1"/>
  </cols>
  <sheetData>
    <row r="1" spans="1:3" ht="16">
      <c r="A1" s="11" t="s">
        <v>78</v>
      </c>
      <c r="B1" s="11" t="s">
        <v>79</v>
      </c>
      <c r="C1" s="11" t="s">
        <v>80</v>
      </c>
    </row>
    <row r="2" spans="1:3" ht="16">
      <c r="A2" s="12" t="s">
        <v>81</v>
      </c>
      <c r="B2" s="12" t="s">
        <v>82</v>
      </c>
      <c r="C2" s="12" t="s">
        <v>83</v>
      </c>
    </row>
    <row r="3" spans="1:3" ht="16">
      <c r="A3" s="12" t="s">
        <v>84</v>
      </c>
      <c r="B3" s="12" t="s">
        <v>85</v>
      </c>
      <c r="C3" s="12" t="s">
        <v>86</v>
      </c>
    </row>
    <row r="4" spans="1:3" ht="16">
      <c r="A4" s="12" t="s">
        <v>87</v>
      </c>
      <c r="B4" s="12" t="s">
        <v>88</v>
      </c>
      <c r="C4" s="12" t="s">
        <v>86</v>
      </c>
    </row>
    <row r="5" spans="1:3" ht="16">
      <c r="A5" s="12" t="s">
        <v>89</v>
      </c>
      <c r="B5" s="12" t="s">
        <v>90</v>
      </c>
      <c r="C5" s="12" t="s">
        <v>91</v>
      </c>
    </row>
    <row r="6" spans="1:3" ht="16">
      <c r="A6" s="12" t="s">
        <v>92</v>
      </c>
      <c r="B6" s="12" t="s">
        <v>93</v>
      </c>
      <c r="C6" s="12" t="s">
        <v>94</v>
      </c>
    </row>
    <row r="7" spans="1:3" ht="16">
      <c r="A7" s="12" t="s">
        <v>95</v>
      </c>
      <c r="B7" s="12" t="s">
        <v>96</v>
      </c>
      <c r="C7" s="12" t="s">
        <v>97</v>
      </c>
    </row>
    <row r="8" spans="1:3">
      <c r="A8" s="12"/>
      <c r="B8" s="12"/>
      <c r="C8" s="12"/>
    </row>
    <row r="9" spans="1:3" ht="16">
      <c r="A9" s="12" t="s">
        <v>98</v>
      </c>
      <c r="B9" s="12" t="s">
        <v>99</v>
      </c>
      <c r="C9" s="12"/>
    </row>
    <row r="10" spans="1:3" ht="16">
      <c r="A10" s="12" t="s">
        <v>100</v>
      </c>
      <c r="B10" s="12" t="s">
        <v>101</v>
      </c>
      <c r="C10" s="12"/>
    </row>
    <row r="11" spans="1:3" ht="32">
      <c r="A11" s="12" t="s">
        <v>102</v>
      </c>
      <c r="B11" s="12" t="s">
        <v>103</v>
      </c>
      <c r="C11" s="12"/>
    </row>
    <row r="12" spans="1:3" ht="48">
      <c r="A12" s="12" t="s">
        <v>104</v>
      </c>
      <c r="B12" s="12" t="s">
        <v>105</v>
      </c>
      <c r="C12" s="12" t="s">
        <v>106</v>
      </c>
    </row>
    <row r="13" spans="1:3" ht="48">
      <c r="A13" s="12" t="s">
        <v>107</v>
      </c>
      <c r="B13" s="12" t="s">
        <v>108</v>
      </c>
      <c r="C13" s="1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Jordan LCR</vt:lpstr>
      <vt:lpstr>Formula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Moayyad Yaghi</cp:lastModifiedBy>
  <dcterms:modified xsi:type="dcterms:W3CDTF">2026-08-24T08:49:51Z</dcterms:modified>
</cp:coreProperties>
</file>