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oayyadyaghi/Downloads/"/>
    </mc:Choice>
  </mc:AlternateContent>
  <xr:revisionPtr revIDLastSave="0" documentId="13_ncr:1_{336724E6-96D7-0B46-A947-B1A7115B5E51}" xr6:coauthVersionLast="47" xr6:coauthVersionMax="47" xr10:uidLastSave="{00000000-0000-0000-0000-000000000000}"/>
  <bookViews>
    <workbookView minimized="1" xWindow="0" yWindow="760" windowWidth="30240" windowHeight="1888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6" i="1" l="1"/>
  <c r="S76" i="1" s="1"/>
  <c r="M48" i="1"/>
  <c r="N15" i="1"/>
  <c r="O15" i="1"/>
  <c r="O5" i="1"/>
  <c r="O6" i="1"/>
  <c r="O7" i="1"/>
  <c r="O79" i="1"/>
  <c r="N79" i="1"/>
  <c r="M79" i="1"/>
  <c r="S79" i="1" s="1"/>
  <c r="O78" i="1"/>
  <c r="N78" i="1"/>
  <c r="M78" i="1"/>
  <c r="S78" i="1" s="1"/>
  <c r="O77" i="1"/>
  <c r="N77" i="1"/>
  <c r="M77" i="1"/>
  <c r="S77" i="1" s="1"/>
  <c r="O76" i="1"/>
  <c r="N76" i="1"/>
  <c r="O75" i="1"/>
  <c r="N75" i="1"/>
  <c r="M75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O47" i="1"/>
  <c r="N47" i="1"/>
  <c r="M47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N7" i="1"/>
  <c r="M7" i="1"/>
  <c r="N6" i="1"/>
  <c r="M6" i="1"/>
  <c r="N5" i="1"/>
  <c r="M5" i="1"/>
  <c r="S66" i="1" l="1"/>
  <c r="S51" i="1"/>
  <c r="S62" i="1"/>
  <c r="S70" i="1"/>
  <c r="S48" i="1"/>
  <c r="S55" i="1"/>
  <c r="S58" i="1"/>
  <c r="S56" i="1"/>
  <c r="S61" i="1"/>
  <c r="S69" i="1"/>
  <c r="S59" i="1"/>
  <c r="S64" i="1"/>
  <c r="S67" i="1"/>
  <c r="S72" i="1"/>
  <c r="S19" i="1"/>
  <c r="S43" i="1"/>
  <c r="S49" i="1"/>
  <c r="S54" i="1"/>
  <c r="S57" i="1"/>
  <c r="S65" i="1"/>
  <c r="S73" i="1"/>
  <c r="S52" i="1"/>
  <c r="S60" i="1"/>
  <c r="S68" i="1"/>
  <c r="S71" i="1"/>
  <c r="S63" i="1"/>
  <c r="S14" i="1"/>
  <c r="S20" i="1"/>
  <c r="S28" i="1"/>
  <c r="S47" i="1"/>
  <c r="S50" i="1"/>
  <c r="O44" i="1"/>
  <c r="S53" i="1"/>
  <c r="S7" i="1"/>
  <c r="S10" i="1"/>
  <c r="S24" i="1"/>
  <c r="S32" i="1"/>
  <c r="S22" i="1"/>
  <c r="S17" i="1"/>
  <c r="S41" i="1"/>
  <c r="S15" i="1"/>
  <c r="S23" i="1"/>
  <c r="S39" i="1"/>
  <c r="S6" i="1"/>
  <c r="S12" i="1"/>
  <c r="S16" i="1"/>
  <c r="S13" i="1"/>
  <c r="S34" i="1"/>
  <c r="S42" i="1"/>
  <c r="S8" i="1"/>
  <c r="S18" i="1"/>
  <c r="S21" i="1"/>
  <c r="S37" i="1"/>
  <c r="S33" i="1"/>
  <c r="S29" i="1"/>
  <c r="S11" i="1"/>
  <c r="S40" i="1"/>
  <c r="S31" i="1"/>
  <c r="S26" i="1"/>
  <c r="S9" i="1"/>
  <c r="S25" i="1"/>
  <c r="S35" i="1"/>
  <c r="S38" i="1"/>
  <c r="P44" i="1" l="1"/>
  <c r="S82" i="1" s="1"/>
  <c r="S74" i="1"/>
  <c r="S80" i="1" s="1"/>
  <c r="S83" i="1" s="1"/>
  <c r="S84" i="1" l="1"/>
</calcChain>
</file>

<file path=xl/sharedStrings.xml><?xml version="1.0" encoding="utf-8"?>
<sst xmlns="http://schemas.openxmlformats.org/spreadsheetml/2006/main" count="188" uniqueCount="156">
  <si>
    <t>JOD</t>
  </si>
  <si>
    <t>USD</t>
  </si>
  <si>
    <t>Other_CCY</t>
  </si>
  <si>
    <t>Total</t>
  </si>
  <si>
    <t>ASF Factor</t>
  </si>
  <si>
    <t>Total ASF</t>
  </si>
  <si>
    <t>&lt; 6
Months</t>
  </si>
  <si>
    <t>≥ 6 months to &lt;
1 year</t>
  </si>
  <si>
    <t>≥1
year</t>
  </si>
  <si>
    <t>001</t>
  </si>
  <si>
    <t>A) Available stable funding</t>
  </si>
  <si>
    <t>002</t>
  </si>
  <si>
    <t>Tier 1 capital</t>
  </si>
  <si>
    <t>Tier 2 capital (Basel III) before the application of capital deductions and excluding T2 instruments with residual maturity of less than 1Y.</t>
  </si>
  <si>
    <t>003</t>
  </si>
  <si>
    <t>T2 Capital Instruments not included above more than 1Y</t>
  </si>
  <si>
    <t>004</t>
  </si>
  <si>
    <t>"Stable" (as defined in the LCR) term deposits</t>
  </si>
  <si>
    <t>004.1</t>
  </si>
  <si>
    <t>"Stable" CASA (as defined in the LCR)</t>
  </si>
  <si>
    <t>005</t>
  </si>
  <si>
    <t>"Less stable" (as defined in the LCR) term deposits</t>
  </si>
  <si>
    <t>005.0</t>
  </si>
  <si>
    <t>"Less stable" CASA (as defined in the LCR)</t>
  </si>
  <si>
    <t>005.1</t>
  </si>
  <si>
    <t>"Stable" (as defined in the LCR) demand and/or term deposits from small business customers</t>
  </si>
  <si>
    <t>005.2</t>
  </si>
  <si>
    <t>"Less stable" (as defined in the LCR) demand and/or term deposits from small business customers</t>
  </si>
  <si>
    <t>006</t>
  </si>
  <si>
    <t>Unsecured funding from non-financial corporates</t>
  </si>
  <si>
    <t>007</t>
  </si>
  <si>
    <t>SME Insured Operational Deposits</t>
  </si>
  <si>
    <t>008</t>
  </si>
  <si>
    <t>SME Insured Non-operational Deposits</t>
  </si>
  <si>
    <t>008.1</t>
  </si>
  <si>
    <t>SME Uninsured Operational Deposits</t>
  </si>
  <si>
    <t>008.2</t>
  </si>
  <si>
    <t>SME Uninsured Non-operational Deposits</t>
  </si>
  <si>
    <t>009</t>
  </si>
  <si>
    <t>Corporate Insured Operational deposits</t>
  </si>
  <si>
    <t>009.1</t>
  </si>
  <si>
    <t>Corporates Insured Non-operational Deposits</t>
  </si>
  <si>
    <t>009.2</t>
  </si>
  <si>
    <t>Corporates Uninsured Operational Deposits</t>
  </si>
  <si>
    <t>009.3</t>
  </si>
  <si>
    <t>Corporates Uninsured Non-operational Deposits</t>
  </si>
  <si>
    <t>010</t>
  </si>
  <si>
    <t>Unsecured funding from Central Banks</t>
  </si>
  <si>
    <t>011</t>
  </si>
  <si>
    <t>Central Bank Operational Deposits</t>
  </si>
  <si>
    <t>012</t>
  </si>
  <si>
    <t>Central Bank Non-operational Deposits</t>
  </si>
  <si>
    <t>014</t>
  </si>
  <si>
    <t>Unsecured funding from Sovereigns/PSEs/MDBs</t>
  </si>
  <si>
    <t>015</t>
  </si>
  <si>
    <t>Sov, PSE and MDB Operational Deposits</t>
  </si>
  <si>
    <t>016</t>
  </si>
  <si>
    <t>Sov, PSE and MDB Non-operational Deposits</t>
  </si>
  <si>
    <t>018</t>
  </si>
  <si>
    <t>Unsecured funding from other legal entities (Banks, FI and financial corporates)</t>
  </si>
  <si>
    <t>019</t>
  </si>
  <si>
    <t>Bank Operational Deposits</t>
  </si>
  <si>
    <t>020</t>
  </si>
  <si>
    <t>Bank Non-operational Deposits</t>
  </si>
  <si>
    <t>020.1</t>
  </si>
  <si>
    <t>Other Financial Institutions Operational Deposits</t>
  </si>
  <si>
    <t>020.2</t>
  </si>
  <si>
    <t>Other Financial Institutions Non-Operational Deposits</t>
  </si>
  <si>
    <t>021</t>
  </si>
  <si>
    <t>Non-deposit</t>
  </si>
  <si>
    <t>022</t>
  </si>
  <si>
    <t>Secured borrowings and liabilities (including secured term deposits)</t>
  </si>
  <si>
    <t>025</t>
  </si>
  <si>
    <t>Central Banks</t>
  </si>
  <si>
    <t>026</t>
  </si>
  <si>
    <t>Sovereigns/PSEs/MDBs</t>
  </si>
  <si>
    <t>027</t>
  </si>
  <si>
    <t>Banks, FI and Financial Corporates</t>
  </si>
  <si>
    <t>028</t>
  </si>
  <si>
    <t>Net derivatives liabilities</t>
  </si>
  <si>
    <t>029</t>
  </si>
  <si>
    <t>Deferred tax liabilities</t>
  </si>
  <si>
    <t>030</t>
  </si>
  <si>
    <t>Minority interest</t>
  </si>
  <si>
    <t>031</t>
  </si>
  <si>
    <t>All other liabilities and equity categories not included above</t>
  </si>
  <si>
    <t>Total Balance sheet</t>
  </si>
  <si>
    <t>RSF Factor</t>
  </si>
  <si>
    <t>Total RSF</t>
  </si>
  <si>
    <t>032</t>
  </si>
  <si>
    <t>B) Required stable funding</t>
  </si>
  <si>
    <t>033</t>
  </si>
  <si>
    <t>1) On balance-sheet items</t>
  </si>
  <si>
    <t>034</t>
  </si>
  <si>
    <t>Coins and Banknotes</t>
  </si>
  <si>
    <t>035</t>
  </si>
  <si>
    <t>Total central bank reserves</t>
  </si>
  <si>
    <t>035.1</t>
  </si>
  <si>
    <t>Mandatory reserves</t>
  </si>
  <si>
    <t>037</t>
  </si>
  <si>
    <t>Securities held where the institution has an offsetting reverse REPO.</t>
  </si>
  <si>
    <t>038</t>
  </si>
  <si>
    <t>Loans to Banks</t>
  </si>
  <si>
    <t>039</t>
  </si>
  <si>
    <t>Unsecured loans to financial institutions (excluding banks)</t>
  </si>
  <si>
    <t>040</t>
  </si>
  <si>
    <t>Securities eligible for Level 1 of the LCR stock of liquid assets</t>
  </si>
  <si>
    <t>041</t>
  </si>
  <si>
    <t>Securities eligible for Level 2A of the LCR stock of liquid assets</t>
  </si>
  <si>
    <t>042</t>
  </si>
  <si>
    <t>Securities eligible for Level 2B of the LCR stock of liquid assets</t>
  </si>
  <si>
    <t>043</t>
  </si>
  <si>
    <t>Deposits held at Banks and FI for operational purposes</t>
  </si>
  <si>
    <t>044</t>
  </si>
  <si>
    <t>Loans to non-financial Corporate with a remaining maturity of less than one year</t>
  </si>
  <si>
    <t>045</t>
  </si>
  <si>
    <t>All claims and Loans to Central Banks</t>
  </si>
  <si>
    <t>046</t>
  </si>
  <si>
    <t>Loans to Sovereigns, PSEs and MDBs with a remaining maturity of less than one year</t>
  </si>
  <si>
    <t>047</t>
  </si>
  <si>
    <t>Residential mortgages of any maturity that would qualify for the 35% or lower risk weight under the Basel II standardised approach for credit risk</t>
  </si>
  <si>
    <t>048</t>
  </si>
  <si>
    <t>Other loans, excluding loans to FI, with a remaining maturity of ≥ 1 year that would qualify for the 35% or lower risk weight under the Basel II standardised approach for credit risk</t>
  </si>
  <si>
    <t>049</t>
  </si>
  <si>
    <t>Loans to retail and small business customers (exl. Mortgage loans reported above) with a remaining maturity of less than one year</t>
  </si>
  <si>
    <t>050</t>
  </si>
  <si>
    <t>Performing loans, excluding loans to financial institutions and reported above, with RW greater than 35% under the Basel II standardised approach for credit risk</t>
  </si>
  <si>
    <t>051</t>
  </si>
  <si>
    <t>Non-HQLA exchange traded Equities</t>
  </si>
  <si>
    <t>052</t>
  </si>
  <si>
    <t>Non-HQLA Securities (not in default)</t>
  </si>
  <si>
    <t>053</t>
  </si>
  <si>
    <t>Gold</t>
  </si>
  <si>
    <t>054</t>
  </si>
  <si>
    <t>Net derivatives assets</t>
  </si>
  <si>
    <t>20% of Net derivatives liabilities</t>
  </si>
  <si>
    <t>055</t>
  </si>
  <si>
    <t>Non performing loans and defaulted securities</t>
  </si>
  <si>
    <t>056</t>
  </si>
  <si>
    <t>Items deducted from Tier 1 and Tier 2 capital under fully implemented Basel III rules (including Intangibles and Deferred tax assets)</t>
  </si>
  <si>
    <t>057</t>
  </si>
  <si>
    <t>All other assets not included in the above categories</t>
  </si>
  <si>
    <t>058</t>
  </si>
  <si>
    <t>2) Off balance-sheet items</t>
  </si>
  <si>
    <t>059</t>
  </si>
  <si>
    <t>Conditionally revocable and irrevocable credit and liquidity facilities</t>
  </si>
  <si>
    <t>060</t>
  </si>
  <si>
    <t>Unconditionally revocable "uncommitted" credit and liquidity facilities</t>
  </si>
  <si>
    <t>061</t>
  </si>
  <si>
    <t>Trade Finance-related to obligations (Guarantees and LCs)</t>
  </si>
  <si>
    <t>062</t>
  </si>
  <si>
    <t>Guarantees and LCs unrelated to trade finance obligations</t>
  </si>
  <si>
    <t>Available Stable Funding</t>
  </si>
  <si>
    <t>Required Stable Funding</t>
  </si>
  <si>
    <t>NSFR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</si>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</sst>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7FBFF"/>
      </patternFill>
    </fill>
    <fill>
      <patternFill patternType="solid">
        <fgColor rgb="FFD9D9D9"/>
      </patternFill>
    </fill>
    <fill>
      <patternFill patternType="solid">
        <fgColor rgb="FFFFF200"/>
      </patternFill>
    </fill>
    <fill>
      <patternFill patternType="solid">
        <fgColor rgb="FF0060BF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9" borderId="6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4" fontId="1" fillId="9" borderId="6" xfId="0" applyNumberFormat="1" applyFont="1" applyFill="1" applyBorder="1" applyAlignment="1">
      <alignment horizontal="right" vertical="center" wrapText="1"/>
    </xf>
    <xf numFmtId="2" fontId="1" fillId="3" borderId="1" xfId="0" applyNumberFormat="1" applyFont="1" applyFill="1" applyBorder="1" applyAlignment="1">
      <alignment horizontal="righ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4" fontId="1" fillId="4" borderId="1" xfId="0" applyNumberFormat="1" applyFont="1" applyFill="1" applyBorder="1" applyAlignment="1">
      <alignment horizontal="right" vertical="center" wrapText="1"/>
    </xf>
    <xf numFmtId="2" fontId="1" fillId="4" borderId="1" xfId="0" applyNumberFormat="1" applyFont="1" applyFill="1" applyBorder="1" applyAlignment="1">
      <alignment horizontal="right" vertical="center" wrapText="1"/>
    </xf>
    <xf numFmtId="3" fontId="1" fillId="4" borderId="1" xfId="0" applyNumberFormat="1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4" fontId="1" fillId="5" borderId="1" xfId="0" applyNumberFormat="1" applyFont="1" applyFill="1" applyBorder="1" applyAlignment="1">
      <alignment horizontal="right" vertical="center" wrapText="1"/>
    </xf>
    <xf numFmtId="2" fontId="1" fillId="5" borderId="1" xfId="0" applyNumberFormat="1" applyFont="1" applyFill="1" applyBorder="1" applyAlignment="1">
      <alignment horizontal="right" vertical="center" wrapText="1"/>
    </xf>
    <xf numFmtId="3" fontId="1" fillId="5" borderId="1" xfId="0" applyNumberFormat="1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4" fontId="1" fillId="6" borderId="1" xfId="0" applyNumberFormat="1" applyFont="1" applyFill="1" applyBorder="1" applyAlignment="1">
      <alignment horizontal="right" vertical="center" wrapText="1"/>
    </xf>
    <xf numFmtId="2" fontId="1" fillId="6" borderId="1" xfId="0" applyNumberFormat="1" applyFont="1" applyFill="1" applyBorder="1" applyAlignment="1">
      <alignment horizontal="right" vertical="center" wrapText="1"/>
    </xf>
    <xf numFmtId="3" fontId="1" fillId="6" borderId="1" xfId="0" applyNumberFormat="1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left" vertical="center" wrapText="1"/>
    </xf>
    <xf numFmtId="2" fontId="2" fillId="8" borderId="1" xfId="0" applyNumberFormat="1" applyFont="1" applyFill="1" applyBorder="1" applyAlignment="1">
      <alignment horizontal="right" vertical="center" wrapText="1"/>
    </xf>
    <xf numFmtId="3" fontId="2" fillId="8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4" fontId="2" fillId="8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3" fontId="2" fillId="8" borderId="11" xfId="0" applyNumberFormat="1" applyFont="1" applyFill="1" applyBorder="1" applyAlignment="1">
      <alignment horizontal="right" vertical="center" wrapText="1"/>
    </xf>
    <xf numFmtId="3" fontId="2" fillId="8" borderId="2" xfId="0" applyNumberFormat="1" applyFont="1" applyFill="1" applyBorder="1" applyAlignment="1">
      <alignment horizontal="right" vertical="center" wrapText="1"/>
    </xf>
    <xf numFmtId="3" fontId="2" fillId="8" borderId="3" xfId="0" applyNumberFormat="1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vertical="center" wrapText="1"/>
    </xf>
    <xf numFmtId="9" fontId="2" fillId="2" borderId="12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vertical="center" wrapText="1"/>
    </xf>
    <xf numFmtId="4" fontId="2" fillId="8" borderId="3" xfId="0" applyNumberFormat="1" applyFont="1" applyFill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4" fontId="1" fillId="5" borderId="12" xfId="0" applyNumberFormat="1" applyFont="1" applyFill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2" fontId="1" fillId="5" borderId="3" xfId="0" applyNumberFormat="1" applyFont="1" applyFill="1" applyBorder="1" applyAlignment="1">
      <alignment horizontal="right" vertical="center" wrapText="1"/>
    </xf>
    <xf numFmtId="2" fontId="1" fillId="4" borderId="3" xfId="0" applyNumberFormat="1" applyFont="1" applyFill="1" applyBorder="1" applyAlignment="1">
      <alignment horizontal="right" vertical="center" wrapText="1"/>
    </xf>
    <xf numFmtId="4" fontId="1" fillId="4" borderId="13" xfId="0" applyNumberFormat="1" applyFont="1" applyFill="1" applyBorder="1" applyAlignment="1">
      <alignment horizontal="right" vertical="center" wrapText="1"/>
    </xf>
    <xf numFmtId="4" fontId="1" fillId="5" borderId="13" xfId="0" applyNumberFormat="1" applyFont="1" applyFill="1" applyBorder="1" applyAlignment="1">
      <alignment horizontal="right" vertical="center" wrapText="1"/>
    </xf>
    <xf numFmtId="4" fontId="1" fillId="10" borderId="2" xfId="0" applyNumberFormat="1" applyFont="1" applyFill="1" applyBorder="1" applyAlignment="1">
      <alignment horizontal="center" vertical="center" wrapText="1"/>
    </xf>
    <xf numFmtId="4" fontId="1" fillId="10" borderId="3" xfId="0" applyNumberFormat="1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left" vertical="center" wrapText="1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 wrapText="1"/>
    </xf>
    <xf numFmtId="0" fontId="3" fillId="6" borderId="20" xfId="0" applyFont="1" applyFill="1" applyBorder="1" applyAlignment="1">
      <alignment horizontal="left" vertical="center" wrapText="1"/>
    </xf>
    <xf numFmtId="4" fontId="1" fillId="6" borderId="21" xfId="0" applyNumberFormat="1" applyFont="1" applyFill="1" applyBorder="1" applyAlignment="1">
      <alignment horizontal="right" vertical="center" wrapText="1"/>
    </xf>
    <xf numFmtId="4" fontId="1" fillId="6" borderId="22" xfId="0" applyNumberFormat="1" applyFont="1" applyFill="1" applyBorder="1" applyAlignment="1">
      <alignment horizontal="right" vertical="center" wrapText="1"/>
    </xf>
    <xf numFmtId="4" fontId="1" fillId="6" borderId="23" xfId="0" applyNumberFormat="1" applyFont="1" applyFill="1" applyBorder="1" applyAlignment="1">
      <alignment horizontal="right" vertical="center" wrapText="1"/>
    </xf>
    <xf numFmtId="4" fontId="2" fillId="11" borderId="19" xfId="0" applyNumberFormat="1" applyFont="1" applyFill="1" applyBorder="1" applyAlignment="1">
      <alignment horizontal="center" vertical="center" wrapText="1"/>
    </xf>
    <xf numFmtId="4" fontId="2" fillId="11" borderId="8" xfId="0" applyNumberFormat="1" applyFont="1" applyFill="1" applyBorder="1" applyAlignment="1">
      <alignment horizontal="center" vertical="center" wrapText="1"/>
    </xf>
    <xf numFmtId="4" fontId="2" fillId="11" borderId="7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4" fontId="2" fillId="11" borderId="1" xfId="0" applyNumberFormat="1" applyFont="1" applyFill="1" applyBorder="1" applyAlignment="1">
      <alignment horizontal="center" vertical="center" wrapText="1"/>
    </xf>
    <xf numFmtId="2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righ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4" fontId="1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zoomScale="75" workbookViewId="0">
      <selection activeCell="C83" sqref="C83"/>
    </sheetView>
  </sheetViews>
  <sheetFormatPr baseColWidth="10" defaultColWidth="8.83203125" defaultRowHeight="15" x14ac:dyDescent="0.2"/>
  <cols>
    <col min="1" max="1" width="6" customWidth="1"/>
    <col min="2" max="2" width="58.33203125" customWidth="1"/>
    <col min="3" max="3" width="8" customWidth="1"/>
    <col min="4" max="4" width="12" bestFit="1" customWidth="1"/>
    <col min="5" max="8" width="10" customWidth="1"/>
    <col min="9" max="9" width="14.6640625" customWidth="1"/>
    <col min="10" max="11" width="10" customWidth="1"/>
    <col min="12" max="12" width="4" customWidth="1"/>
    <col min="13" max="15" width="14" customWidth="1"/>
    <col min="16" max="18" width="10" customWidth="1"/>
    <col min="19" max="19" width="14" customWidth="1"/>
  </cols>
  <sheetData>
    <row r="1" spans="1:19" ht="18" customHeight="1" x14ac:dyDescent="0.2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2"/>
      <c r="M1" s="36"/>
      <c r="N1" s="36"/>
      <c r="O1" s="36"/>
      <c r="P1" s="36"/>
      <c r="Q1" s="36"/>
      <c r="R1" s="36"/>
      <c r="S1" s="36"/>
    </row>
    <row r="2" spans="1:19" ht="18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2"/>
      <c r="M2" s="36"/>
      <c r="N2" s="36"/>
      <c r="O2" s="36"/>
      <c r="P2" s="36"/>
      <c r="Q2" s="36"/>
      <c r="R2" s="36"/>
      <c r="S2" s="36"/>
    </row>
    <row r="3" spans="1:19" ht="32" customHeight="1" x14ac:dyDescent="0.2">
      <c r="A3" s="37"/>
      <c r="B3" s="38"/>
      <c r="C3" s="78" t="s">
        <v>0</v>
      </c>
      <c r="D3" s="78"/>
      <c r="E3" s="78"/>
      <c r="F3" s="78" t="s">
        <v>1</v>
      </c>
      <c r="G3" s="78"/>
      <c r="H3" s="78"/>
      <c r="I3" s="78" t="s">
        <v>2</v>
      </c>
      <c r="J3" s="78"/>
      <c r="K3" s="78"/>
      <c r="L3" s="2"/>
      <c r="M3" s="78" t="s">
        <v>3</v>
      </c>
      <c r="N3" s="78"/>
      <c r="O3" s="78"/>
      <c r="P3" s="78" t="s">
        <v>4</v>
      </c>
      <c r="Q3" s="78"/>
      <c r="R3" s="78"/>
      <c r="S3" s="78" t="s">
        <v>5</v>
      </c>
    </row>
    <row r="4" spans="1:19" ht="32" customHeight="1" x14ac:dyDescent="0.2">
      <c r="A4" s="33"/>
      <c r="B4" s="34"/>
      <c r="C4" s="74" t="s">
        <v>6</v>
      </c>
      <c r="D4" s="74" t="s">
        <v>7</v>
      </c>
      <c r="E4" s="74" t="s">
        <v>8</v>
      </c>
      <c r="F4" s="74" t="s">
        <v>6</v>
      </c>
      <c r="G4" s="74" t="s">
        <v>7</v>
      </c>
      <c r="H4" s="74" t="s">
        <v>8</v>
      </c>
      <c r="I4" s="74" t="s">
        <v>6</v>
      </c>
      <c r="J4" s="74" t="s">
        <v>7</v>
      </c>
      <c r="K4" s="74" t="s">
        <v>8</v>
      </c>
      <c r="L4" s="2"/>
      <c r="M4" s="74" t="s">
        <v>6</v>
      </c>
      <c r="N4" s="74" t="s">
        <v>7</v>
      </c>
      <c r="O4" s="74" t="s">
        <v>8</v>
      </c>
      <c r="P4" s="74" t="s">
        <v>6</v>
      </c>
      <c r="Q4" s="74" t="s">
        <v>7</v>
      </c>
      <c r="R4" s="74" t="s">
        <v>8</v>
      </c>
      <c r="S4" s="79"/>
    </row>
    <row r="5" spans="1:19" ht="18" customHeight="1" x14ac:dyDescent="0.2">
      <c r="A5" s="3" t="s">
        <v>9</v>
      </c>
      <c r="B5" s="4" t="s">
        <v>10</v>
      </c>
      <c r="C5" s="5"/>
      <c r="D5" s="5"/>
      <c r="E5" s="5"/>
      <c r="F5" s="5"/>
      <c r="G5" s="5"/>
      <c r="H5" s="5"/>
      <c r="I5" s="5"/>
      <c r="J5" s="5"/>
      <c r="K5" s="5"/>
      <c r="L5" s="6"/>
      <c r="M5" s="5">
        <f>C5+F5+I5</f>
        <v>0</v>
      </c>
      <c r="N5" s="5">
        <f>D5+G5+J5</f>
        <v>0</v>
      </c>
      <c r="O5" s="5">
        <f>E5+H5+K5</f>
        <v>0</v>
      </c>
      <c r="P5" s="7"/>
      <c r="Q5" s="7"/>
      <c r="R5" s="7"/>
      <c r="S5" s="8"/>
    </row>
    <row r="6" spans="1:19" ht="42" customHeight="1" x14ac:dyDescent="0.2">
      <c r="A6" s="9" t="s">
        <v>11</v>
      </c>
      <c r="B6" s="10" t="s">
        <v>12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428237.61</v>
      </c>
      <c r="L6" s="6"/>
      <c r="M6" s="11">
        <f>C6+F6+I6</f>
        <v>0</v>
      </c>
      <c r="N6" s="11">
        <f>D6+G6+J6</f>
        <v>0</v>
      </c>
      <c r="O6" s="11">
        <f>E6+H6+K6</f>
        <v>428237.61</v>
      </c>
      <c r="P6" s="12"/>
      <c r="Q6" s="12"/>
      <c r="R6" s="12">
        <v>1</v>
      </c>
      <c r="S6" s="13">
        <f t="shared" ref="S6:S26" si="0">IFERROR(M6*P6+N6*Q6+O6*R6,"-")</f>
        <v>428237.61</v>
      </c>
    </row>
    <row r="7" spans="1:19" ht="42" customHeight="1" x14ac:dyDescent="0.2">
      <c r="A7" s="14"/>
      <c r="B7" s="15" t="s">
        <v>13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2938.15</v>
      </c>
      <c r="L7" s="6"/>
      <c r="M7" s="16">
        <f>C7+F7+I7</f>
        <v>0</v>
      </c>
      <c r="N7" s="16">
        <f>D7+G7+J7</f>
        <v>0</v>
      </c>
      <c r="O7" s="16">
        <f>E7+H7+K7</f>
        <v>2938.15</v>
      </c>
      <c r="P7" s="17"/>
      <c r="Q7" s="17"/>
      <c r="R7" s="17">
        <v>1</v>
      </c>
      <c r="S7" s="18">
        <f t="shared" si="0"/>
        <v>2938.15</v>
      </c>
    </row>
    <row r="8" spans="1:19" ht="18" customHeight="1" x14ac:dyDescent="0.2">
      <c r="A8" s="9" t="s">
        <v>14</v>
      </c>
      <c r="B8" s="10" t="s">
        <v>15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6"/>
      <c r="M8" s="11">
        <f>C8+F8+I8</f>
        <v>0</v>
      </c>
      <c r="N8" s="11">
        <f>D8+G8+J8</f>
        <v>0</v>
      </c>
      <c r="O8" s="11">
        <f t="shared" ref="O8:O43" si="1">E8+H8+K8</f>
        <v>0</v>
      </c>
      <c r="P8" s="12"/>
      <c r="Q8" s="12"/>
      <c r="R8" s="12">
        <v>1</v>
      </c>
      <c r="S8" s="13">
        <f t="shared" si="0"/>
        <v>0</v>
      </c>
    </row>
    <row r="9" spans="1:19" ht="18" customHeight="1" x14ac:dyDescent="0.2">
      <c r="A9" s="14" t="s">
        <v>16</v>
      </c>
      <c r="B9" s="15" t="s">
        <v>17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6"/>
      <c r="M9" s="16">
        <f>C9+F9+I9</f>
        <v>0</v>
      </c>
      <c r="N9" s="16">
        <f>D9+G9+J9</f>
        <v>0</v>
      </c>
      <c r="O9" s="16">
        <f t="shared" si="1"/>
        <v>0</v>
      </c>
      <c r="P9" s="17">
        <v>0.95</v>
      </c>
      <c r="Q9" s="17">
        <v>0.95</v>
      </c>
      <c r="R9" s="17">
        <v>0.95</v>
      </c>
      <c r="S9" s="18">
        <f t="shared" si="0"/>
        <v>0</v>
      </c>
    </row>
    <row r="10" spans="1:19" ht="18" customHeight="1" x14ac:dyDescent="0.2">
      <c r="A10" s="9" t="s">
        <v>18</v>
      </c>
      <c r="B10" s="10" t="s">
        <v>19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6"/>
      <c r="M10" s="11">
        <f>C10+F10+I10</f>
        <v>0</v>
      </c>
      <c r="N10" s="11">
        <f>D10+G10+J10</f>
        <v>0</v>
      </c>
      <c r="O10" s="11">
        <f t="shared" si="1"/>
        <v>0</v>
      </c>
      <c r="P10" s="12">
        <v>0.95</v>
      </c>
      <c r="Q10" s="12">
        <v>0.95</v>
      </c>
      <c r="R10" s="12">
        <v>0.95</v>
      </c>
      <c r="S10" s="13">
        <f t="shared" si="0"/>
        <v>0</v>
      </c>
    </row>
    <row r="11" spans="1:19" ht="18" customHeight="1" x14ac:dyDescent="0.2">
      <c r="A11" s="14" t="s">
        <v>20</v>
      </c>
      <c r="B11" s="15" t="s">
        <v>21</v>
      </c>
      <c r="C11" s="16">
        <v>232.72</v>
      </c>
      <c r="D11" s="16">
        <v>0</v>
      </c>
      <c r="E11" s="16">
        <v>0</v>
      </c>
      <c r="F11" s="16">
        <v>39204.75</v>
      </c>
      <c r="G11" s="16">
        <v>5780.56</v>
      </c>
      <c r="H11" s="16">
        <v>0</v>
      </c>
      <c r="I11" s="16">
        <v>346969.52</v>
      </c>
      <c r="J11" s="16">
        <v>50308.800000000003</v>
      </c>
      <c r="K11" s="16">
        <v>0</v>
      </c>
      <c r="L11" s="6"/>
      <c r="M11" s="16">
        <f>C11+F11+I11</f>
        <v>386406.99</v>
      </c>
      <c r="N11" s="16">
        <f>D11+G11+J11</f>
        <v>56089.36</v>
      </c>
      <c r="O11" s="16">
        <f t="shared" si="1"/>
        <v>0</v>
      </c>
      <c r="P11" s="17">
        <v>0.9</v>
      </c>
      <c r="Q11" s="17">
        <v>0.9</v>
      </c>
      <c r="R11" s="17">
        <v>0.9</v>
      </c>
      <c r="S11" s="18">
        <f t="shared" si="0"/>
        <v>398246.71500000003</v>
      </c>
    </row>
    <row r="12" spans="1:19" ht="18" customHeight="1" x14ac:dyDescent="0.2">
      <c r="A12" s="9" t="s">
        <v>22</v>
      </c>
      <c r="B12" s="10" t="s">
        <v>23</v>
      </c>
      <c r="C12" s="11">
        <v>26.21</v>
      </c>
      <c r="D12" s="11">
        <v>0</v>
      </c>
      <c r="E12" s="11">
        <v>0</v>
      </c>
      <c r="F12" s="11">
        <v>21792.240000000002</v>
      </c>
      <c r="G12" s="11">
        <v>0</v>
      </c>
      <c r="H12" s="11">
        <v>0</v>
      </c>
      <c r="I12" s="11">
        <v>229465.63</v>
      </c>
      <c r="J12" s="11">
        <v>0</v>
      </c>
      <c r="K12" s="11">
        <v>0</v>
      </c>
      <c r="L12" s="6"/>
      <c r="M12" s="11">
        <f>C12+F12+I12</f>
        <v>251284.08000000002</v>
      </c>
      <c r="N12" s="11">
        <f>D12+G12+J12</f>
        <v>0</v>
      </c>
      <c r="O12" s="11">
        <f t="shared" si="1"/>
        <v>0</v>
      </c>
      <c r="P12" s="12">
        <v>0.9</v>
      </c>
      <c r="Q12" s="12">
        <v>0.9</v>
      </c>
      <c r="R12" s="12">
        <v>0.9</v>
      </c>
      <c r="S12" s="13">
        <f t="shared" si="0"/>
        <v>226155.67200000002</v>
      </c>
    </row>
    <row r="13" spans="1:19" ht="42" customHeight="1" x14ac:dyDescent="0.2">
      <c r="A13" s="14" t="s">
        <v>24</v>
      </c>
      <c r="B13" s="15" t="s">
        <v>25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6"/>
      <c r="M13" s="16">
        <f>C13+F13+I13</f>
        <v>0</v>
      </c>
      <c r="N13" s="16">
        <f>D13+G13+J13</f>
        <v>0</v>
      </c>
      <c r="O13" s="16">
        <f t="shared" si="1"/>
        <v>0</v>
      </c>
      <c r="P13" s="17"/>
      <c r="Q13" s="17"/>
      <c r="R13" s="17"/>
      <c r="S13" s="18">
        <f t="shared" si="0"/>
        <v>0</v>
      </c>
    </row>
    <row r="14" spans="1:19" ht="42" customHeight="1" x14ac:dyDescent="0.2">
      <c r="A14" s="9" t="s">
        <v>26</v>
      </c>
      <c r="B14" s="10" t="s">
        <v>27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6"/>
      <c r="M14" s="11">
        <f>C14+F14+I14</f>
        <v>0</v>
      </c>
      <c r="N14" s="11">
        <f>D14+G14+J14</f>
        <v>0</v>
      </c>
      <c r="O14" s="11">
        <f t="shared" si="1"/>
        <v>0</v>
      </c>
      <c r="P14" s="12"/>
      <c r="Q14" s="12"/>
      <c r="R14" s="12"/>
      <c r="S14" s="13">
        <f t="shared" si="0"/>
        <v>0</v>
      </c>
    </row>
    <row r="15" spans="1:19" ht="18" customHeight="1" x14ac:dyDescent="0.2">
      <c r="A15" s="14" t="s">
        <v>28</v>
      </c>
      <c r="B15" s="15" t="s">
        <v>29</v>
      </c>
      <c r="C15" s="16">
        <v>0</v>
      </c>
      <c r="D15" s="16">
        <v>0</v>
      </c>
      <c r="E15" s="16">
        <v>0</v>
      </c>
      <c r="F15" s="11">
        <v>30174.92</v>
      </c>
      <c r="G15" s="16">
        <v>0</v>
      </c>
      <c r="H15" s="16">
        <v>0</v>
      </c>
      <c r="I15" s="16">
        <v>24981.61</v>
      </c>
      <c r="J15" s="16">
        <v>5276.63</v>
      </c>
      <c r="K15" s="16">
        <v>0</v>
      </c>
      <c r="L15" s="6"/>
      <c r="M15" s="16">
        <f>C15+F15+I15</f>
        <v>55156.53</v>
      </c>
      <c r="N15" s="16">
        <f>D15+G15+J15</f>
        <v>5276.63</v>
      </c>
      <c r="O15" s="16">
        <f>E15+H15+K15</f>
        <v>0</v>
      </c>
      <c r="P15" s="17">
        <v>0.5</v>
      </c>
      <c r="Q15" s="17">
        <v>0.5</v>
      </c>
      <c r="R15" s="17">
        <v>1</v>
      </c>
      <c r="S15" s="18">
        <f>IFERROR(M15*P15+N15*Q15+O15*R15,"-")</f>
        <v>30216.579999999998</v>
      </c>
    </row>
    <row r="16" spans="1:19" ht="18" customHeight="1" x14ac:dyDescent="0.2">
      <c r="A16" s="9" t="s">
        <v>30</v>
      </c>
      <c r="B16" s="10" t="s">
        <v>31</v>
      </c>
      <c r="C16" s="11">
        <v>0</v>
      </c>
      <c r="D16" s="11">
        <v>0</v>
      </c>
      <c r="E16" s="11">
        <v>0</v>
      </c>
      <c r="F16" s="16">
        <v>163.01</v>
      </c>
      <c r="G16" s="11">
        <v>0</v>
      </c>
      <c r="H16" s="11">
        <v>0</v>
      </c>
      <c r="I16" s="11">
        <v>353402.87</v>
      </c>
      <c r="J16" s="11">
        <v>39771.370000000003</v>
      </c>
      <c r="K16" s="11">
        <v>0</v>
      </c>
      <c r="L16" s="6"/>
      <c r="M16" s="11">
        <f>C16+F16+I16</f>
        <v>353565.88</v>
      </c>
      <c r="N16" s="11">
        <f>D16+G16+J16</f>
        <v>39771.370000000003</v>
      </c>
      <c r="O16" s="11">
        <f t="shared" si="1"/>
        <v>0</v>
      </c>
      <c r="P16" s="12">
        <v>0.5</v>
      </c>
      <c r="Q16" s="12">
        <v>0.5</v>
      </c>
      <c r="R16" s="12">
        <v>1</v>
      </c>
      <c r="S16" s="13">
        <f t="shared" si="0"/>
        <v>196668.625</v>
      </c>
    </row>
    <row r="17" spans="1:19" ht="18" customHeight="1" x14ac:dyDescent="0.2">
      <c r="A17" s="14" t="s">
        <v>32</v>
      </c>
      <c r="B17" s="15" t="s">
        <v>33</v>
      </c>
      <c r="C17" s="16">
        <v>0</v>
      </c>
      <c r="D17" s="16">
        <v>0</v>
      </c>
      <c r="E17" s="16">
        <v>0</v>
      </c>
      <c r="F17" s="11">
        <v>3118.12</v>
      </c>
      <c r="G17" s="16">
        <v>0</v>
      </c>
      <c r="H17" s="16">
        <v>0</v>
      </c>
      <c r="I17" s="16">
        <v>239.54</v>
      </c>
      <c r="J17" s="16">
        <v>0</v>
      </c>
      <c r="K17" s="16">
        <v>0</v>
      </c>
      <c r="L17" s="6"/>
      <c r="M17" s="16">
        <f>C17+F17+I17</f>
        <v>3357.66</v>
      </c>
      <c r="N17" s="16">
        <f>D17+G17+J17</f>
        <v>0</v>
      </c>
      <c r="O17" s="16">
        <f t="shared" si="1"/>
        <v>0</v>
      </c>
      <c r="P17" s="17">
        <v>0.5</v>
      </c>
      <c r="Q17" s="17">
        <v>0.5</v>
      </c>
      <c r="R17" s="17">
        <v>1</v>
      </c>
      <c r="S17" s="18">
        <f t="shared" si="0"/>
        <v>1678.83</v>
      </c>
    </row>
    <row r="18" spans="1:19" ht="18" customHeight="1" x14ac:dyDescent="0.2">
      <c r="A18" s="9" t="s">
        <v>34</v>
      </c>
      <c r="B18" s="10" t="s">
        <v>35</v>
      </c>
      <c r="C18" s="11">
        <v>0</v>
      </c>
      <c r="D18" s="11">
        <v>0</v>
      </c>
      <c r="E18" s="11">
        <v>0</v>
      </c>
      <c r="F18" s="16">
        <v>0</v>
      </c>
      <c r="G18" s="11">
        <v>0</v>
      </c>
      <c r="H18" s="11">
        <v>0</v>
      </c>
      <c r="I18" s="11">
        <v>21360.95</v>
      </c>
      <c r="J18" s="11">
        <v>0</v>
      </c>
      <c r="K18" s="11">
        <v>0</v>
      </c>
      <c r="L18" s="6"/>
      <c r="M18" s="11">
        <f>C18+F18+I18</f>
        <v>21360.95</v>
      </c>
      <c r="N18" s="11">
        <f>D18+G18+J18</f>
        <v>0</v>
      </c>
      <c r="O18" s="11">
        <f t="shared" si="1"/>
        <v>0</v>
      </c>
      <c r="P18" s="12">
        <v>0.5</v>
      </c>
      <c r="Q18" s="12">
        <v>0.5</v>
      </c>
      <c r="R18" s="12">
        <v>1</v>
      </c>
      <c r="S18" s="13">
        <f t="shared" si="0"/>
        <v>10680.475</v>
      </c>
    </row>
    <row r="19" spans="1:19" ht="18" customHeight="1" x14ac:dyDescent="0.2">
      <c r="A19" s="14" t="s">
        <v>36</v>
      </c>
      <c r="B19" s="15" t="s">
        <v>37</v>
      </c>
      <c r="C19" s="16">
        <v>0</v>
      </c>
      <c r="D19" s="16">
        <v>0</v>
      </c>
      <c r="E19" s="16">
        <v>0</v>
      </c>
      <c r="F19" s="11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6"/>
      <c r="M19" s="16">
        <f>C19+F19+I19</f>
        <v>0</v>
      </c>
      <c r="N19" s="16">
        <f>D19+G19+J19</f>
        <v>0</v>
      </c>
      <c r="O19" s="16">
        <f t="shared" si="1"/>
        <v>0</v>
      </c>
      <c r="P19" s="17">
        <v>0.5</v>
      </c>
      <c r="Q19" s="17">
        <v>0.5</v>
      </c>
      <c r="R19" s="17">
        <v>1</v>
      </c>
      <c r="S19" s="18">
        <f t="shared" si="0"/>
        <v>0</v>
      </c>
    </row>
    <row r="20" spans="1:19" ht="18" customHeight="1" x14ac:dyDescent="0.2">
      <c r="A20" s="9" t="s">
        <v>38</v>
      </c>
      <c r="B20" s="10" t="s">
        <v>39</v>
      </c>
      <c r="C20" s="11">
        <v>0</v>
      </c>
      <c r="D20" s="11">
        <v>0</v>
      </c>
      <c r="E20" s="11">
        <v>0</v>
      </c>
      <c r="F20" s="16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6"/>
      <c r="M20" s="11">
        <f>C20+F20+I20</f>
        <v>0</v>
      </c>
      <c r="N20" s="11">
        <f>D20+G20+J20</f>
        <v>0</v>
      </c>
      <c r="O20" s="11">
        <f t="shared" si="1"/>
        <v>0</v>
      </c>
      <c r="P20" s="12">
        <v>0.5</v>
      </c>
      <c r="Q20" s="12">
        <v>0.5</v>
      </c>
      <c r="R20" s="12">
        <v>1</v>
      </c>
      <c r="S20" s="13">
        <f t="shared" si="0"/>
        <v>0</v>
      </c>
    </row>
    <row r="21" spans="1:19" ht="18" customHeight="1" x14ac:dyDescent="0.2">
      <c r="A21" s="14" t="s">
        <v>40</v>
      </c>
      <c r="B21" s="15" t="s">
        <v>41</v>
      </c>
      <c r="C21" s="16">
        <v>0</v>
      </c>
      <c r="D21" s="16">
        <v>0</v>
      </c>
      <c r="E21" s="16">
        <v>0</v>
      </c>
      <c r="F21" s="11">
        <v>3780.41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6"/>
      <c r="M21" s="16">
        <f>C21+F21+I21</f>
        <v>3780.41</v>
      </c>
      <c r="N21" s="16">
        <f>D21+G21+J21</f>
        <v>0</v>
      </c>
      <c r="O21" s="16">
        <f t="shared" si="1"/>
        <v>0</v>
      </c>
      <c r="P21" s="17">
        <v>0.5</v>
      </c>
      <c r="Q21" s="17">
        <v>0.5</v>
      </c>
      <c r="R21" s="17">
        <v>1</v>
      </c>
      <c r="S21" s="18">
        <f t="shared" si="0"/>
        <v>1890.2049999999999</v>
      </c>
    </row>
    <row r="22" spans="1:19" ht="18" customHeight="1" x14ac:dyDescent="0.2">
      <c r="A22" s="9" t="s">
        <v>42</v>
      </c>
      <c r="B22" s="10" t="s">
        <v>43</v>
      </c>
      <c r="C22" s="11">
        <v>0</v>
      </c>
      <c r="D22" s="11">
        <v>0</v>
      </c>
      <c r="E22" s="11">
        <v>0</v>
      </c>
      <c r="F22" s="16">
        <v>24684.47</v>
      </c>
      <c r="G22" s="11">
        <v>0</v>
      </c>
      <c r="H22" s="11">
        <v>0</v>
      </c>
      <c r="I22" s="11">
        <v>5555.28</v>
      </c>
      <c r="J22" s="11">
        <v>0</v>
      </c>
      <c r="K22" s="11">
        <v>0</v>
      </c>
      <c r="L22" s="6"/>
      <c r="M22" s="11">
        <f>C22+F22+I22</f>
        <v>30239.75</v>
      </c>
      <c r="N22" s="11">
        <f>D22+G22+J22</f>
        <v>0</v>
      </c>
      <c r="O22" s="11">
        <f t="shared" si="1"/>
        <v>0</v>
      </c>
      <c r="P22" s="12">
        <v>0.5</v>
      </c>
      <c r="Q22" s="12">
        <v>0.5</v>
      </c>
      <c r="R22" s="12">
        <v>1</v>
      </c>
      <c r="S22" s="13">
        <f t="shared" si="0"/>
        <v>15119.875</v>
      </c>
    </row>
    <row r="23" spans="1:19" ht="18" customHeight="1" x14ac:dyDescent="0.2">
      <c r="A23" s="14" t="s">
        <v>44</v>
      </c>
      <c r="B23" s="15" t="s">
        <v>45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169102.79</v>
      </c>
      <c r="J23" s="16">
        <v>0</v>
      </c>
      <c r="K23" s="16">
        <v>0</v>
      </c>
      <c r="L23" s="6"/>
      <c r="M23" s="16">
        <f>C23+F23+I23</f>
        <v>169102.79</v>
      </c>
      <c r="N23" s="16">
        <f>D23+G23+J23</f>
        <v>0</v>
      </c>
      <c r="O23" s="16">
        <f t="shared" si="1"/>
        <v>0</v>
      </c>
      <c r="P23" s="17">
        <v>0.5</v>
      </c>
      <c r="Q23" s="17">
        <v>0.5</v>
      </c>
      <c r="R23" s="17">
        <v>1</v>
      </c>
      <c r="S23" s="18">
        <f t="shared" si="0"/>
        <v>84551.395000000004</v>
      </c>
    </row>
    <row r="24" spans="1:19" ht="18" customHeight="1" x14ac:dyDescent="0.2">
      <c r="A24" s="9" t="s">
        <v>46</v>
      </c>
      <c r="B24" s="10" t="s">
        <v>47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6"/>
      <c r="M24" s="11">
        <f>C24+F24+I24</f>
        <v>0</v>
      </c>
      <c r="N24" s="11">
        <f>D24+G24+J24</f>
        <v>0</v>
      </c>
      <c r="O24" s="11">
        <f t="shared" si="1"/>
        <v>0</v>
      </c>
      <c r="P24" s="12"/>
      <c r="Q24" s="12"/>
      <c r="R24" s="12"/>
      <c r="S24" s="13">
        <f t="shared" si="0"/>
        <v>0</v>
      </c>
    </row>
    <row r="25" spans="1:19" ht="18" customHeight="1" x14ac:dyDescent="0.2">
      <c r="A25" s="14" t="s">
        <v>48</v>
      </c>
      <c r="B25" s="15" t="s">
        <v>49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6"/>
      <c r="M25" s="16">
        <f>C25+F25+I25</f>
        <v>0</v>
      </c>
      <c r="N25" s="16">
        <f>D25+G25+J25</f>
        <v>0</v>
      </c>
      <c r="O25" s="16">
        <f t="shared" si="1"/>
        <v>0</v>
      </c>
      <c r="P25" s="17">
        <v>0.5</v>
      </c>
      <c r="Q25" s="17">
        <v>0.5</v>
      </c>
      <c r="R25" s="17">
        <v>1</v>
      </c>
      <c r="S25" s="18">
        <f t="shared" si="0"/>
        <v>0</v>
      </c>
    </row>
    <row r="26" spans="1:19" ht="18" customHeight="1" x14ac:dyDescent="0.2">
      <c r="A26" s="9" t="s">
        <v>50</v>
      </c>
      <c r="B26" s="10" t="s">
        <v>51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6"/>
      <c r="M26" s="11">
        <f>C26+F26+I26</f>
        <v>0</v>
      </c>
      <c r="N26" s="11">
        <f>D26+G26+J26</f>
        <v>0</v>
      </c>
      <c r="O26" s="11">
        <f t="shared" si="1"/>
        <v>0</v>
      </c>
      <c r="P26" s="12">
        <v>0</v>
      </c>
      <c r="Q26" s="12">
        <v>0.5</v>
      </c>
      <c r="R26" s="12">
        <v>1</v>
      </c>
      <c r="S26" s="13">
        <f t="shared" si="0"/>
        <v>0</v>
      </c>
    </row>
    <row r="27" spans="1:19" ht="18" customHeight="1" x14ac:dyDescent="0.2">
      <c r="A27" s="19" t="s">
        <v>52</v>
      </c>
      <c r="B27" s="20" t="s">
        <v>53</v>
      </c>
      <c r="C27" s="21"/>
      <c r="D27" s="21"/>
      <c r="E27" s="21"/>
      <c r="F27" s="21"/>
      <c r="G27" s="21"/>
      <c r="H27" s="21"/>
      <c r="I27" s="21"/>
      <c r="J27" s="21"/>
      <c r="K27" s="21"/>
      <c r="L27" s="6"/>
      <c r="M27" s="21">
        <f>C27+F27+I27</f>
        <v>0</v>
      </c>
      <c r="N27" s="21">
        <f>D27+G27+J27</f>
        <v>0</v>
      </c>
      <c r="O27" s="21">
        <f t="shared" si="1"/>
        <v>0</v>
      </c>
      <c r="P27" s="22"/>
      <c r="Q27" s="22"/>
      <c r="R27" s="22"/>
      <c r="S27" s="23"/>
    </row>
    <row r="28" spans="1:19" ht="18" customHeight="1" x14ac:dyDescent="0.2">
      <c r="A28" s="9" t="s">
        <v>54</v>
      </c>
      <c r="B28" s="10" t="s">
        <v>55</v>
      </c>
      <c r="C28" s="11">
        <v>0</v>
      </c>
      <c r="D28" s="11">
        <v>0</v>
      </c>
      <c r="E28" s="11">
        <v>0</v>
      </c>
      <c r="F28" s="11">
        <v>0.46</v>
      </c>
      <c r="G28" s="11">
        <v>0</v>
      </c>
      <c r="H28" s="11">
        <v>0</v>
      </c>
      <c r="I28" s="11">
        <v>0.68</v>
      </c>
      <c r="J28" s="11">
        <v>0</v>
      </c>
      <c r="K28" s="11">
        <v>0</v>
      </c>
      <c r="L28" s="6"/>
      <c r="M28" s="11">
        <f>C28+F28+I28</f>
        <v>1.1400000000000001</v>
      </c>
      <c r="N28" s="11">
        <f>D28+G28+J28</f>
        <v>0</v>
      </c>
      <c r="O28" s="11">
        <f t="shared" si="1"/>
        <v>0</v>
      </c>
      <c r="P28" s="12">
        <v>0.5</v>
      </c>
      <c r="Q28" s="12">
        <v>0.5</v>
      </c>
      <c r="R28" s="12">
        <v>1</v>
      </c>
      <c r="S28" s="13">
        <f>IFERROR(M28*P28+N28*Q28+O28*R28,"-")</f>
        <v>0.57000000000000006</v>
      </c>
    </row>
    <row r="29" spans="1:19" ht="18" customHeight="1" x14ac:dyDescent="0.2">
      <c r="A29" s="14" t="s">
        <v>56</v>
      </c>
      <c r="B29" s="15" t="s">
        <v>57</v>
      </c>
      <c r="C29" s="16">
        <v>0</v>
      </c>
      <c r="D29" s="16">
        <v>0</v>
      </c>
      <c r="E29" s="16">
        <v>0</v>
      </c>
      <c r="F29" s="16">
        <v>4380.03</v>
      </c>
      <c r="G29" s="16">
        <v>0</v>
      </c>
      <c r="H29" s="16">
        <v>0</v>
      </c>
      <c r="I29" s="16">
        <v>30005.7</v>
      </c>
      <c r="J29" s="16">
        <v>41191.82</v>
      </c>
      <c r="K29" s="16">
        <v>0</v>
      </c>
      <c r="L29" s="6"/>
      <c r="M29" s="16">
        <f>C29+F29+I29</f>
        <v>34385.730000000003</v>
      </c>
      <c r="N29" s="16">
        <f>D29+G29+J29</f>
        <v>41191.82</v>
      </c>
      <c r="O29" s="16">
        <f t="shared" si="1"/>
        <v>0</v>
      </c>
      <c r="P29" s="17">
        <v>0.5</v>
      </c>
      <c r="Q29" s="17">
        <v>0.5</v>
      </c>
      <c r="R29" s="17">
        <v>1</v>
      </c>
      <c r="S29" s="18">
        <f>IFERROR(M29*P29+N29*Q29+O29*R29,"-")</f>
        <v>37788.775000000001</v>
      </c>
    </row>
    <row r="30" spans="1:19" ht="42" customHeight="1" x14ac:dyDescent="0.2">
      <c r="A30" s="19" t="s">
        <v>58</v>
      </c>
      <c r="B30" s="20" t="s">
        <v>59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6"/>
      <c r="M30" s="21">
        <f>C30+F30+I30</f>
        <v>0</v>
      </c>
      <c r="N30" s="21">
        <f>D30+G30+J30</f>
        <v>0</v>
      </c>
      <c r="O30" s="21">
        <f t="shared" si="1"/>
        <v>0</v>
      </c>
      <c r="P30" s="22"/>
      <c r="Q30" s="22"/>
      <c r="R30" s="22"/>
      <c r="S30" s="23"/>
    </row>
    <row r="31" spans="1:19" ht="18" customHeight="1" x14ac:dyDescent="0.2">
      <c r="A31" s="14" t="s">
        <v>60</v>
      </c>
      <c r="B31" s="15" t="s">
        <v>61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6"/>
      <c r="M31" s="16">
        <f>C31+F31+I31</f>
        <v>0</v>
      </c>
      <c r="N31" s="16">
        <f>D31+G31+J31</f>
        <v>0</v>
      </c>
      <c r="O31" s="16">
        <f t="shared" si="1"/>
        <v>0</v>
      </c>
      <c r="P31" s="17">
        <v>0.5</v>
      </c>
      <c r="Q31" s="17">
        <v>0.5</v>
      </c>
      <c r="R31" s="17">
        <v>1</v>
      </c>
      <c r="S31" s="18">
        <f>IFERROR(M31*P31+N31*Q31+O31*R31,"-")</f>
        <v>0</v>
      </c>
    </row>
    <row r="32" spans="1:19" ht="18" customHeight="1" x14ac:dyDescent="0.2">
      <c r="A32" s="9" t="s">
        <v>62</v>
      </c>
      <c r="B32" s="10" t="s">
        <v>63</v>
      </c>
      <c r="C32" s="11">
        <v>0</v>
      </c>
      <c r="D32" s="11">
        <v>0</v>
      </c>
      <c r="E32" s="11">
        <v>0</v>
      </c>
      <c r="F32" s="11">
        <v>41217.31</v>
      </c>
      <c r="G32" s="11">
        <v>0</v>
      </c>
      <c r="H32" s="11">
        <v>0</v>
      </c>
      <c r="I32" s="11">
        <v>12153.32</v>
      </c>
      <c r="J32" s="11">
        <v>0</v>
      </c>
      <c r="K32" s="11">
        <v>0</v>
      </c>
      <c r="L32" s="6"/>
      <c r="M32" s="11">
        <f>C32+F32+I32</f>
        <v>53370.63</v>
      </c>
      <c r="N32" s="11">
        <f>D32+G32+J32</f>
        <v>0</v>
      </c>
      <c r="O32" s="11">
        <f t="shared" si="1"/>
        <v>0</v>
      </c>
      <c r="P32" s="12">
        <v>0</v>
      </c>
      <c r="Q32" s="12">
        <v>0.5</v>
      </c>
      <c r="R32" s="12">
        <v>1</v>
      </c>
      <c r="S32" s="13">
        <f>IFERROR(M32*P32+N32*Q32+O32*R32,"-")</f>
        <v>0</v>
      </c>
    </row>
    <row r="33" spans="1:19" ht="18" customHeight="1" x14ac:dyDescent="0.2">
      <c r="A33" s="14" t="s">
        <v>64</v>
      </c>
      <c r="B33" s="15" t="s">
        <v>65</v>
      </c>
      <c r="C33" s="16">
        <v>0</v>
      </c>
      <c r="D33" s="16">
        <v>0</v>
      </c>
      <c r="E33" s="16">
        <v>0</v>
      </c>
      <c r="F33" s="16">
        <v>0.23</v>
      </c>
      <c r="G33" s="16">
        <v>0</v>
      </c>
      <c r="H33" s="16">
        <v>0</v>
      </c>
      <c r="I33" s="16">
        <v>0.34</v>
      </c>
      <c r="J33" s="16">
        <v>0</v>
      </c>
      <c r="K33" s="16">
        <v>0</v>
      </c>
      <c r="L33" s="6"/>
      <c r="M33" s="16">
        <f>C33+F33+I33</f>
        <v>0.57000000000000006</v>
      </c>
      <c r="N33" s="16">
        <f>D33+G33+J33</f>
        <v>0</v>
      </c>
      <c r="O33" s="16">
        <f t="shared" si="1"/>
        <v>0</v>
      </c>
      <c r="P33" s="17">
        <v>0.5</v>
      </c>
      <c r="Q33" s="17">
        <v>0.5</v>
      </c>
      <c r="R33" s="17">
        <v>1</v>
      </c>
      <c r="S33" s="18">
        <f>IFERROR(M33*P33+N33*Q33+O33*R33,"-")</f>
        <v>0.28500000000000003</v>
      </c>
    </row>
    <row r="34" spans="1:19" ht="18" customHeight="1" x14ac:dyDescent="0.2">
      <c r="A34" s="9" t="s">
        <v>66</v>
      </c>
      <c r="B34" s="10" t="s">
        <v>67</v>
      </c>
      <c r="C34" s="11">
        <v>0</v>
      </c>
      <c r="D34" s="11">
        <v>0</v>
      </c>
      <c r="E34" s="11">
        <v>0</v>
      </c>
      <c r="F34" s="11">
        <v>255.6</v>
      </c>
      <c r="G34" s="11">
        <v>0</v>
      </c>
      <c r="H34" s="11">
        <v>0</v>
      </c>
      <c r="I34" s="11">
        <v>1751.01</v>
      </c>
      <c r="J34" s="11">
        <v>0</v>
      </c>
      <c r="K34" s="11">
        <v>0</v>
      </c>
      <c r="L34" s="6"/>
      <c r="M34" s="11">
        <f>C34+F34+I34</f>
        <v>2006.61</v>
      </c>
      <c r="N34" s="11">
        <f>D34+G34+J34</f>
        <v>0</v>
      </c>
      <c r="O34" s="11">
        <f t="shared" si="1"/>
        <v>0</v>
      </c>
      <c r="P34" s="12">
        <v>0</v>
      </c>
      <c r="Q34" s="12">
        <v>0.5</v>
      </c>
      <c r="R34" s="12">
        <v>1</v>
      </c>
      <c r="S34" s="13">
        <f>IFERROR(M34*P34+N34*Q34+O34*R34,"-")</f>
        <v>0</v>
      </c>
    </row>
    <row r="35" spans="1:19" ht="18" customHeight="1" x14ac:dyDescent="0.2">
      <c r="A35" s="14" t="s">
        <v>68</v>
      </c>
      <c r="B35" s="15" t="s">
        <v>69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6"/>
      <c r="M35" s="16">
        <f>C35+F35+I35</f>
        <v>0</v>
      </c>
      <c r="N35" s="16">
        <f>D35+G35+J35</f>
        <v>0</v>
      </c>
      <c r="O35" s="16">
        <f t="shared" si="1"/>
        <v>0</v>
      </c>
      <c r="P35" s="17">
        <v>0</v>
      </c>
      <c r="Q35" s="17">
        <v>0.5</v>
      </c>
      <c r="R35" s="17">
        <v>1</v>
      </c>
      <c r="S35" s="18">
        <f>IFERROR(M35*P35+N35*Q35+O35*R35,"-")</f>
        <v>0</v>
      </c>
    </row>
    <row r="36" spans="1:19" ht="42" customHeight="1" x14ac:dyDescent="0.2">
      <c r="A36" s="19" t="s">
        <v>70</v>
      </c>
      <c r="B36" s="20" t="s">
        <v>71</v>
      </c>
      <c r="C36" s="21">
        <v>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6"/>
      <c r="M36" s="21">
        <f>C36+F36+I36</f>
        <v>0</v>
      </c>
      <c r="N36" s="21">
        <f>D36+G36+J36</f>
        <v>0</v>
      </c>
      <c r="O36" s="21">
        <f t="shared" si="1"/>
        <v>0</v>
      </c>
      <c r="P36" s="22"/>
      <c r="Q36" s="22"/>
      <c r="R36" s="22"/>
      <c r="S36" s="23"/>
    </row>
    <row r="37" spans="1:19" ht="18" customHeight="1" x14ac:dyDescent="0.2">
      <c r="A37" s="14" t="s">
        <v>72</v>
      </c>
      <c r="B37" s="15" t="s">
        <v>73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6"/>
      <c r="M37" s="16">
        <f>C37+F37+I37</f>
        <v>0</v>
      </c>
      <c r="N37" s="16">
        <f>D37+G37+J37</f>
        <v>0</v>
      </c>
      <c r="O37" s="16">
        <f t="shared" si="1"/>
        <v>0</v>
      </c>
      <c r="P37" s="17">
        <v>0</v>
      </c>
      <c r="Q37" s="17">
        <v>0.5</v>
      </c>
      <c r="R37" s="17">
        <v>1</v>
      </c>
      <c r="S37" s="18">
        <f t="shared" ref="S37:S43" si="2">IFERROR(M37*P37+N37*Q37+O37*R37,"-")</f>
        <v>0</v>
      </c>
    </row>
    <row r="38" spans="1:19" ht="18" customHeight="1" x14ac:dyDescent="0.2">
      <c r="A38" s="9" t="s">
        <v>74</v>
      </c>
      <c r="B38" s="10" t="s">
        <v>75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6"/>
      <c r="M38" s="11">
        <f>C38+F38+I38</f>
        <v>0</v>
      </c>
      <c r="N38" s="11">
        <f>D38+G38+J38</f>
        <v>0</v>
      </c>
      <c r="O38" s="11">
        <f t="shared" si="1"/>
        <v>0</v>
      </c>
      <c r="P38" s="12">
        <v>0.5</v>
      </c>
      <c r="Q38" s="12">
        <v>0.5</v>
      </c>
      <c r="R38" s="12">
        <v>1</v>
      </c>
      <c r="S38" s="13">
        <f t="shared" si="2"/>
        <v>0</v>
      </c>
    </row>
    <row r="39" spans="1:19" ht="18" customHeight="1" x14ac:dyDescent="0.2">
      <c r="A39" s="14" t="s">
        <v>76</v>
      </c>
      <c r="B39" s="15" t="s">
        <v>77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18.78</v>
      </c>
      <c r="I39" s="16">
        <v>0</v>
      </c>
      <c r="J39" s="16">
        <v>0</v>
      </c>
      <c r="K39" s="16">
        <v>0</v>
      </c>
      <c r="L39" s="6"/>
      <c r="M39" s="16">
        <f>C39+F39+I39</f>
        <v>0</v>
      </c>
      <c r="N39" s="16">
        <f>D39+G39+J39</f>
        <v>0</v>
      </c>
      <c r="O39" s="16">
        <f t="shared" si="1"/>
        <v>18.78</v>
      </c>
      <c r="P39" s="17">
        <v>0</v>
      </c>
      <c r="Q39" s="17">
        <v>0.5</v>
      </c>
      <c r="R39" s="17">
        <v>1</v>
      </c>
      <c r="S39" s="18">
        <f t="shared" si="2"/>
        <v>18.78</v>
      </c>
    </row>
    <row r="40" spans="1:19" ht="18" customHeight="1" x14ac:dyDescent="0.2">
      <c r="A40" s="9" t="s">
        <v>78</v>
      </c>
      <c r="B40" s="24" t="s">
        <v>79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18.78</v>
      </c>
      <c r="L40" s="6"/>
      <c r="M40" s="11">
        <f>C40+F40+I40</f>
        <v>0</v>
      </c>
      <c r="N40" s="11">
        <f>D40+G40+J40</f>
        <v>0</v>
      </c>
      <c r="O40" s="11">
        <f t="shared" si="1"/>
        <v>18.78</v>
      </c>
      <c r="P40" s="12"/>
      <c r="Q40" s="12"/>
      <c r="R40" s="12">
        <v>0</v>
      </c>
      <c r="S40" s="13">
        <f t="shared" si="2"/>
        <v>0</v>
      </c>
    </row>
    <row r="41" spans="1:19" ht="18" customHeight="1" x14ac:dyDescent="0.2">
      <c r="A41" s="14" t="s">
        <v>80</v>
      </c>
      <c r="B41" s="15" t="s">
        <v>81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6"/>
      <c r="M41" s="16">
        <f>C41+F41+I41</f>
        <v>0</v>
      </c>
      <c r="N41" s="16">
        <f>D41+G41+J41</f>
        <v>0</v>
      </c>
      <c r="O41" s="16">
        <f t="shared" si="1"/>
        <v>0</v>
      </c>
      <c r="P41" s="17"/>
      <c r="Q41" s="17"/>
      <c r="R41" s="17">
        <v>0</v>
      </c>
      <c r="S41" s="18">
        <f t="shared" si="2"/>
        <v>0</v>
      </c>
    </row>
    <row r="42" spans="1:19" ht="18" customHeight="1" x14ac:dyDescent="0.2">
      <c r="A42" s="9" t="s">
        <v>82</v>
      </c>
      <c r="B42" s="10" t="s">
        <v>83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6"/>
      <c r="M42" s="11">
        <f>C42+F42+I42</f>
        <v>0</v>
      </c>
      <c r="N42" s="11">
        <f>D42+G42+J42</f>
        <v>0</v>
      </c>
      <c r="O42" s="11">
        <f t="shared" si="1"/>
        <v>0</v>
      </c>
      <c r="P42" s="12">
        <v>0</v>
      </c>
      <c r="Q42" s="12">
        <v>0.5</v>
      </c>
      <c r="R42" s="12">
        <v>1</v>
      </c>
      <c r="S42" s="13">
        <f t="shared" si="2"/>
        <v>0</v>
      </c>
    </row>
    <row r="43" spans="1:19" ht="18" customHeight="1" x14ac:dyDescent="0.2">
      <c r="A43" s="57" t="s">
        <v>84</v>
      </c>
      <c r="B43" s="58" t="s">
        <v>85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45384.22</v>
      </c>
      <c r="L43" s="6"/>
      <c r="M43" s="16">
        <f>C43+F43+I43</f>
        <v>0</v>
      </c>
      <c r="N43" s="16">
        <f>D43+G43+J43</f>
        <v>0</v>
      </c>
      <c r="O43" s="16">
        <f t="shared" si="1"/>
        <v>45384.22</v>
      </c>
      <c r="P43" s="17"/>
      <c r="Q43" s="17"/>
      <c r="R43" s="17">
        <v>0</v>
      </c>
      <c r="S43" s="18">
        <f t="shared" si="2"/>
        <v>0</v>
      </c>
    </row>
    <row r="44" spans="1:19" ht="18" customHeight="1" x14ac:dyDescent="0.2">
      <c r="A44" s="61"/>
      <c r="B44" s="66"/>
      <c r="C44" s="67"/>
      <c r="D44" s="68"/>
      <c r="E44" s="68"/>
      <c r="F44" s="68"/>
      <c r="G44" s="68"/>
      <c r="H44" s="68"/>
      <c r="I44" s="68"/>
      <c r="J44" s="68"/>
      <c r="K44" s="69"/>
      <c r="L44" s="6"/>
      <c r="M44" s="53" t="s">
        <v>86</v>
      </c>
      <c r="N44" s="54"/>
      <c r="O44" s="21">
        <f>SUM(O5:O43)+SUM(N5:N43)+SUM(M5:M43)</f>
        <v>1982946.44</v>
      </c>
      <c r="P44" s="39">
        <f>SUM(S5:S43)</f>
        <v>1434192.5420000004</v>
      </c>
      <c r="Q44" s="40"/>
      <c r="R44" s="40"/>
      <c r="S44" s="41"/>
    </row>
    <row r="45" spans="1:19" ht="32" customHeight="1" x14ac:dyDescent="0.2">
      <c r="A45" s="62"/>
      <c r="B45" s="63"/>
      <c r="C45" s="70" t="s">
        <v>0</v>
      </c>
      <c r="D45" s="70"/>
      <c r="E45" s="71"/>
      <c r="F45" s="72" t="s">
        <v>1</v>
      </c>
      <c r="G45" s="70"/>
      <c r="H45" s="71"/>
      <c r="I45" s="72" t="s">
        <v>2</v>
      </c>
      <c r="J45" s="70"/>
      <c r="K45" s="71"/>
      <c r="L45" s="6"/>
      <c r="M45" s="75" t="s">
        <v>3</v>
      </c>
      <c r="N45" s="75"/>
      <c r="O45" s="75"/>
      <c r="P45" s="76" t="s">
        <v>87</v>
      </c>
      <c r="Q45" s="76"/>
      <c r="R45" s="76"/>
      <c r="S45" s="77" t="s">
        <v>88</v>
      </c>
    </row>
    <row r="46" spans="1:19" ht="32" customHeight="1" x14ac:dyDescent="0.2">
      <c r="A46" s="64"/>
      <c r="B46" s="65"/>
      <c r="C46" s="73" t="s">
        <v>6</v>
      </c>
      <c r="D46" s="74" t="s">
        <v>7</v>
      </c>
      <c r="E46" s="74" t="s">
        <v>8</v>
      </c>
      <c r="F46" s="74" t="s">
        <v>6</v>
      </c>
      <c r="G46" s="74" t="s">
        <v>7</v>
      </c>
      <c r="H46" s="74" t="s">
        <v>8</v>
      </c>
      <c r="I46" s="74" t="s">
        <v>6</v>
      </c>
      <c r="J46" s="74" t="s">
        <v>7</v>
      </c>
      <c r="K46" s="74" t="s">
        <v>8</v>
      </c>
      <c r="L46" s="6"/>
      <c r="M46" s="74" t="s">
        <v>6</v>
      </c>
      <c r="N46" s="74" t="s">
        <v>7</v>
      </c>
      <c r="O46" s="74" t="s">
        <v>8</v>
      </c>
      <c r="P46" s="74" t="s">
        <v>6</v>
      </c>
      <c r="Q46" s="74" t="s">
        <v>7</v>
      </c>
      <c r="R46" s="74" t="s">
        <v>8</v>
      </c>
      <c r="S46" s="77"/>
    </row>
    <row r="47" spans="1:19" ht="18" customHeight="1" x14ac:dyDescent="0.2">
      <c r="A47" s="59" t="s">
        <v>89</v>
      </c>
      <c r="B47" s="60" t="s">
        <v>90</v>
      </c>
      <c r="C47" s="5"/>
      <c r="D47" s="5"/>
      <c r="E47" s="5"/>
      <c r="F47" s="5"/>
      <c r="G47" s="5"/>
      <c r="H47" s="5"/>
      <c r="I47" s="5"/>
      <c r="J47" s="5"/>
      <c r="K47" s="5"/>
      <c r="L47" s="6"/>
      <c r="M47" s="5">
        <f>C47+F47+I47</f>
        <v>0</v>
      </c>
      <c r="N47" s="5">
        <f>D47+G47+J47</f>
        <v>0</v>
      </c>
      <c r="O47" s="5">
        <f t="shared" ref="O47:O73" si="3">E47+H47+K47</f>
        <v>0</v>
      </c>
      <c r="P47" s="7"/>
      <c r="Q47" s="7"/>
      <c r="R47" s="7"/>
      <c r="S47" s="8">
        <f>(M47*P47)+(N47*Q47)+(O47*R47)</f>
        <v>0</v>
      </c>
    </row>
    <row r="48" spans="1:19" ht="18" customHeight="1" x14ac:dyDescent="0.2">
      <c r="A48" s="9" t="s">
        <v>91</v>
      </c>
      <c r="B48" s="10" t="s">
        <v>92</v>
      </c>
      <c r="C48" s="11"/>
      <c r="D48" s="11"/>
      <c r="E48" s="11"/>
      <c r="F48" s="11"/>
      <c r="G48" s="11">
        <v>0</v>
      </c>
      <c r="H48" s="11">
        <v>0</v>
      </c>
      <c r="I48" s="11"/>
      <c r="J48" s="11">
        <v>0</v>
      </c>
      <c r="K48" s="11">
        <v>0</v>
      </c>
      <c r="L48" s="6"/>
      <c r="M48" s="11">
        <f>C48+F48+I48</f>
        <v>0</v>
      </c>
      <c r="N48" s="11">
        <f>D48+G48+J48</f>
        <v>0</v>
      </c>
      <c r="O48" s="11">
        <f t="shared" si="3"/>
        <v>0</v>
      </c>
      <c r="P48" s="12"/>
      <c r="Q48" s="12"/>
      <c r="R48" s="12"/>
      <c r="S48" s="8">
        <f t="shared" ref="S48:S73" si="4">(M48*P48)+(N48*Q48)+(O48*R48)</f>
        <v>0</v>
      </c>
    </row>
    <row r="49" spans="1:22" ht="18" customHeight="1" x14ac:dyDescent="0.2">
      <c r="A49" s="14" t="s">
        <v>93</v>
      </c>
      <c r="B49" s="15" t="s">
        <v>94</v>
      </c>
      <c r="C49" s="16">
        <v>0</v>
      </c>
      <c r="D49" s="16">
        <v>0</v>
      </c>
      <c r="E49" s="16">
        <v>0</v>
      </c>
      <c r="F49" s="11">
        <v>7525.74</v>
      </c>
      <c r="G49" s="16">
        <v>0</v>
      </c>
      <c r="H49" s="16">
        <v>0</v>
      </c>
      <c r="I49" s="11">
        <v>8772.0499999999993</v>
      </c>
      <c r="J49" s="16">
        <v>0</v>
      </c>
      <c r="K49" s="16">
        <v>0</v>
      </c>
      <c r="L49" s="6"/>
      <c r="M49" s="16">
        <f>C49+F49+I49</f>
        <v>16297.789999999999</v>
      </c>
      <c r="N49" s="16">
        <f>D49+G49+J49</f>
        <v>0</v>
      </c>
      <c r="O49" s="16">
        <f t="shared" si="3"/>
        <v>0</v>
      </c>
      <c r="P49" s="17"/>
      <c r="Q49" s="17"/>
      <c r="R49" s="17">
        <v>0</v>
      </c>
      <c r="S49" s="8">
        <f t="shared" si="4"/>
        <v>0</v>
      </c>
    </row>
    <row r="50" spans="1:22" ht="18" customHeight="1" x14ac:dyDescent="0.2">
      <c r="A50" s="9" t="s">
        <v>95</v>
      </c>
      <c r="B50" s="10" t="s">
        <v>96</v>
      </c>
      <c r="C50" s="11">
        <v>0</v>
      </c>
      <c r="D50" s="11">
        <v>0</v>
      </c>
      <c r="E50" s="11">
        <v>0</v>
      </c>
      <c r="F50" s="16">
        <v>1643.52</v>
      </c>
      <c r="G50" s="11">
        <v>0</v>
      </c>
      <c r="H50" s="11">
        <v>0</v>
      </c>
      <c r="I50" s="16">
        <v>362437.73</v>
      </c>
      <c r="J50" s="11">
        <v>0</v>
      </c>
      <c r="K50" s="11">
        <v>0</v>
      </c>
      <c r="L50" s="6"/>
      <c r="M50" s="11">
        <f>C50+F50+I50</f>
        <v>364081.25</v>
      </c>
      <c r="N50" s="11">
        <f>D50+G50+J50</f>
        <v>0</v>
      </c>
      <c r="O50" s="11">
        <f t="shared" si="3"/>
        <v>0</v>
      </c>
      <c r="P50" s="12">
        <v>0</v>
      </c>
      <c r="Q50" s="12">
        <v>0</v>
      </c>
      <c r="R50" s="12">
        <v>0</v>
      </c>
      <c r="S50" s="8">
        <f t="shared" si="4"/>
        <v>0</v>
      </c>
    </row>
    <row r="51" spans="1:22" ht="18" customHeight="1" x14ac:dyDescent="0.2">
      <c r="A51" s="14" t="s">
        <v>97</v>
      </c>
      <c r="B51" s="15" t="s">
        <v>98</v>
      </c>
      <c r="C51" s="16">
        <v>0</v>
      </c>
      <c r="D51" s="16">
        <v>0</v>
      </c>
      <c r="E51" s="16">
        <v>0</v>
      </c>
      <c r="F51" s="11">
        <v>1288.74</v>
      </c>
      <c r="G51" s="16">
        <v>0</v>
      </c>
      <c r="H51" s="16">
        <v>0</v>
      </c>
      <c r="I51" s="11">
        <v>48655.88</v>
      </c>
      <c r="J51" s="16">
        <v>0</v>
      </c>
      <c r="K51" s="16">
        <v>0</v>
      </c>
      <c r="L51" s="6"/>
      <c r="M51" s="16">
        <f>C51+F51+I51</f>
        <v>49944.619999999995</v>
      </c>
      <c r="N51" s="16">
        <f>D51+G51+J51</f>
        <v>0</v>
      </c>
      <c r="O51" s="16">
        <f t="shared" si="3"/>
        <v>0</v>
      </c>
      <c r="P51" s="17">
        <v>0</v>
      </c>
      <c r="Q51" s="17">
        <v>0</v>
      </c>
      <c r="R51" s="17">
        <v>0.65</v>
      </c>
      <c r="S51" s="8">
        <f t="shared" si="4"/>
        <v>0</v>
      </c>
    </row>
    <row r="52" spans="1:22" ht="42" customHeight="1" x14ac:dyDescent="0.2">
      <c r="A52" s="9" t="s">
        <v>99</v>
      </c>
      <c r="B52" s="10" t="s">
        <v>100</v>
      </c>
      <c r="C52" s="11">
        <v>0</v>
      </c>
      <c r="D52" s="11">
        <v>0</v>
      </c>
      <c r="E52" s="11">
        <v>0</v>
      </c>
      <c r="F52" s="16">
        <v>0</v>
      </c>
      <c r="G52" s="11">
        <v>0</v>
      </c>
      <c r="H52" s="11">
        <v>0</v>
      </c>
      <c r="I52" s="16">
        <v>0</v>
      </c>
      <c r="J52" s="11">
        <v>0</v>
      </c>
      <c r="K52" s="11">
        <v>0</v>
      </c>
      <c r="L52" s="6"/>
      <c r="M52" s="11">
        <f>C52+F52+I52</f>
        <v>0</v>
      </c>
      <c r="N52" s="11">
        <f>D52+G52+J52</f>
        <v>0</v>
      </c>
      <c r="O52" s="11">
        <f t="shared" si="3"/>
        <v>0</v>
      </c>
      <c r="P52" s="12">
        <v>0.15</v>
      </c>
      <c r="Q52" s="12">
        <v>0.5</v>
      </c>
      <c r="R52" s="12">
        <v>1</v>
      </c>
      <c r="S52" s="8">
        <f t="shared" si="4"/>
        <v>0</v>
      </c>
    </row>
    <row r="53" spans="1:22" ht="18" customHeight="1" x14ac:dyDescent="0.2">
      <c r="A53" s="14" t="s">
        <v>101</v>
      </c>
      <c r="B53" s="15" t="s">
        <v>102</v>
      </c>
      <c r="C53" s="16">
        <v>443.88</v>
      </c>
      <c r="D53" s="16">
        <v>0</v>
      </c>
      <c r="E53" s="16">
        <v>0</v>
      </c>
      <c r="F53" s="11">
        <v>126077.75</v>
      </c>
      <c r="G53" s="16">
        <v>0</v>
      </c>
      <c r="H53" s="16">
        <v>0</v>
      </c>
      <c r="I53" s="11">
        <v>37670.050000000003</v>
      </c>
      <c r="J53" s="16">
        <v>0</v>
      </c>
      <c r="K53" s="16">
        <v>0</v>
      </c>
      <c r="L53" s="6"/>
      <c r="M53" s="16">
        <f>C53+F53+I53</f>
        <v>164191.67999999999</v>
      </c>
      <c r="N53" s="16">
        <f>D53+G53+J53</f>
        <v>0</v>
      </c>
      <c r="O53" s="16">
        <f t="shared" si="3"/>
        <v>0</v>
      </c>
      <c r="P53" s="17">
        <v>0.15</v>
      </c>
      <c r="Q53" s="17">
        <v>0.5</v>
      </c>
      <c r="R53" s="17">
        <v>1</v>
      </c>
      <c r="S53" s="8">
        <f t="shared" si="4"/>
        <v>24628.751999999997</v>
      </c>
    </row>
    <row r="54" spans="1:22" ht="18" customHeight="1" x14ac:dyDescent="0.2">
      <c r="A54" s="9" t="s">
        <v>103</v>
      </c>
      <c r="B54" s="10" t="s">
        <v>104</v>
      </c>
      <c r="C54" s="11">
        <v>0</v>
      </c>
      <c r="D54" s="11">
        <v>0</v>
      </c>
      <c r="E54" s="11">
        <v>0</v>
      </c>
      <c r="F54" s="16">
        <v>0</v>
      </c>
      <c r="G54" s="11">
        <v>0</v>
      </c>
      <c r="H54" s="11">
        <v>0</v>
      </c>
      <c r="I54" s="16">
        <v>0</v>
      </c>
      <c r="J54" s="11">
        <v>0</v>
      </c>
      <c r="K54" s="11">
        <v>0</v>
      </c>
      <c r="L54" s="6"/>
      <c r="M54" s="11">
        <f>C54+F54+I54</f>
        <v>0</v>
      </c>
      <c r="N54" s="11">
        <f>D54+G54+J54</f>
        <v>0</v>
      </c>
      <c r="O54" s="11">
        <f t="shared" si="3"/>
        <v>0</v>
      </c>
      <c r="P54" s="12">
        <v>0.05</v>
      </c>
      <c r="Q54" s="12">
        <v>0.05</v>
      </c>
      <c r="R54" s="12">
        <v>0.05</v>
      </c>
      <c r="S54" s="8">
        <f t="shared" si="4"/>
        <v>0</v>
      </c>
    </row>
    <row r="55" spans="1:22" ht="18" customHeight="1" x14ac:dyDescent="0.2">
      <c r="A55" s="14" t="s">
        <v>105</v>
      </c>
      <c r="B55" s="15" t="s">
        <v>106</v>
      </c>
      <c r="C55" s="16">
        <v>0</v>
      </c>
      <c r="D55" s="16">
        <v>0</v>
      </c>
      <c r="E55" s="16">
        <v>0</v>
      </c>
      <c r="F55" s="11">
        <v>0</v>
      </c>
      <c r="G55" s="16">
        <v>0</v>
      </c>
      <c r="H55" s="11">
        <v>20000</v>
      </c>
      <c r="I55" s="11">
        <v>59947.82</v>
      </c>
      <c r="J55" s="11">
        <v>5931.62</v>
      </c>
      <c r="K55" s="11">
        <v>27461.21</v>
      </c>
      <c r="L55" s="6"/>
      <c r="M55" s="16">
        <f>C55+F55+I55</f>
        <v>59947.82</v>
      </c>
      <c r="N55" s="16">
        <f>D55+G55+J55</f>
        <v>5931.62</v>
      </c>
      <c r="O55" s="16">
        <f t="shared" si="3"/>
        <v>47461.21</v>
      </c>
      <c r="P55" s="17">
        <v>0.05</v>
      </c>
      <c r="Q55" s="17">
        <v>0.05</v>
      </c>
      <c r="R55" s="17">
        <v>0.05</v>
      </c>
      <c r="S55" s="8">
        <f t="shared" si="4"/>
        <v>5667.0325000000003</v>
      </c>
    </row>
    <row r="56" spans="1:22" ht="18" customHeight="1" x14ac:dyDescent="0.2">
      <c r="A56" s="9" t="s">
        <v>107</v>
      </c>
      <c r="B56" s="10" t="s">
        <v>108</v>
      </c>
      <c r="C56" s="11">
        <v>0</v>
      </c>
      <c r="D56" s="11">
        <v>0</v>
      </c>
      <c r="E56" s="11">
        <v>0</v>
      </c>
      <c r="F56" s="16">
        <v>0</v>
      </c>
      <c r="G56" s="11">
        <v>0</v>
      </c>
      <c r="H56" s="11">
        <v>0</v>
      </c>
      <c r="I56" s="16">
        <v>0</v>
      </c>
      <c r="J56" s="11">
        <v>0</v>
      </c>
      <c r="K56" s="11">
        <v>0</v>
      </c>
      <c r="L56" s="6"/>
      <c r="M56" s="11">
        <f>C56+F56+I56</f>
        <v>0</v>
      </c>
      <c r="N56" s="11">
        <f>D56+G56+J56</f>
        <v>0</v>
      </c>
      <c r="O56" s="11">
        <f t="shared" si="3"/>
        <v>0</v>
      </c>
      <c r="P56" s="12">
        <v>0.5</v>
      </c>
      <c r="Q56" s="12">
        <v>0.5</v>
      </c>
      <c r="R56" s="12">
        <v>0.5</v>
      </c>
      <c r="S56" s="8">
        <f t="shared" si="4"/>
        <v>0</v>
      </c>
    </row>
    <row r="57" spans="1:22" ht="18" customHeight="1" x14ac:dyDescent="0.2">
      <c r="A57" s="14" t="s">
        <v>109</v>
      </c>
      <c r="B57" s="15" t="s">
        <v>110</v>
      </c>
      <c r="C57" s="16">
        <v>0</v>
      </c>
      <c r="D57" s="16">
        <v>0</v>
      </c>
      <c r="E57" s="16">
        <v>0</v>
      </c>
      <c r="F57" s="11">
        <v>0</v>
      </c>
      <c r="G57" s="16">
        <v>0</v>
      </c>
      <c r="H57" s="16">
        <v>0</v>
      </c>
      <c r="I57" s="11">
        <v>0</v>
      </c>
      <c r="J57" s="16">
        <v>0</v>
      </c>
      <c r="K57" s="16">
        <v>0</v>
      </c>
      <c r="L57" s="6"/>
      <c r="M57" s="16">
        <f>C57+F57+I57</f>
        <v>0</v>
      </c>
      <c r="N57" s="16">
        <f>D57+G57+J57</f>
        <v>0</v>
      </c>
      <c r="O57" s="16">
        <f t="shared" si="3"/>
        <v>0</v>
      </c>
      <c r="P57" s="17">
        <v>0.5</v>
      </c>
      <c r="Q57" s="17">
        <v>0.5</v>
      </c>
      <c r="R57" s="17">
        <v>1</v>
      </c>
      <c r="S57" s="8">
        <f t="shared" si="4"/>
        <v>0</v>
      </c>
    </row>
    <row r="58" spans="1:22" ht="18" customHeight="1" x14ac:dyDescent="0.2">
      <c r="A58" s="9" t="s">
        <v>111</v>
      </c>
      <c r="B58" s="10" t="s">
        <v>112</v>
      </c>
      <c r="C58" s="11">
        <v>0</v>
      </c>
      <c r="D58" s="11">
        <v>0</v>
      </c>
      <c r="E58" s="11">
        <v>0</v>
      </c>
      <c r="F58" s="16">
        <v>0</v>
      </c>
      <c r="G58" s="11">
        <v>0</v>
      </c>
      <c r="H58" s="11">
        <v>0</v>
      </c>
      <c r="I58" s="16">
        <v>0</v>
      </c>
      <c r="J58" s="11">
        <v>0</v>
      </c>
      <c r="K58" s="11">
        <v>0</v>
      </c>
      <c r="L58" s="6"/>
      <c r="M58" s="11">
        <f>C58+F58+I58</f>
        <v>0</v>
      </c>
      <c r="N58" s="11">
        <f>D58+G58+J58</f>
        <v>0</v>
      </c>
      <c r="O58" s="11">
        <f t="shared" si="3"/>
        <v>0</v>
      </c>
      <c r="P58" s="12">
        <v>0.5</v>
      </c>
      <c r="Q58" s="12">
        <v>0.5</v>
      </c>
      <c r="R58" s="12">
        <v>1</v>
      </c>
      <c r="S58" s="8">
        <f t="shared" si="4"/>
        <v>0</v>
      </c>
    </row>
    <row r="59" spans="1:22" ht="18" customHeight="1" x14ac:dyDescent="0.2">
      <c r="A59" s="14" t="s">
        <v>113</v>
      </c>
      <c r="B59" s="15" t="s">
        <v>114</v>
      </c>
      <c r="C59" s="16">
        <v>0</v>
      </c>
      <c r="D59" s="16">
        <v>0</v>
      </c>
      <c r="E59" s="16">
        <v>0</v>
      </c>
      <c r="F59" s="11">
        <v>0</v>
      </c>
      <c r="G59" s="16">
        <v>0</v>
      </c>
      <c r="H59" s="16">
        <v>0</v>
      </c>
      <c r="I59" s="11">
        <v>315438.96000000002</v>
      </c>
      <c r="J59" s="16">
        <v>183934.33</v>
      </c>
      <c r="K59" s="16">
        <v>0</v>
      </c>
      <c r="L59" s="6"/>
      <c r="M59" s="16">
        <f>C59+F59+I59</f>
        <v>315438.96000000002</v>
      </c>
      <c r="N59" s="16">
        <f>D59+G59+J59</f>
        <v>183934.33</v>
      </c>
      <c r="O59" s="16">
        <f t="shared" si="3"/>
        <v>0</v>
      </c>
      <c r="P59" s="17">
        <v>0.5</v>
      </c>
      <c r="Q59" s="17">
        <v>0.5</v>
      </c>
      <c r="R59" s="17">
        <v>1</v>
      </c>
      <c r="S59" s="8">
        <f t="shared" si="4"/>
        <v>249686.64500000002</v>
      </c>
      <c r="V59" t="s">
        <v>155</v>
      </c>
    </row>
    <row r="60" spans="1:22" ht="18" customHeight="1" x14ac:dyDescent="0.2">
      <c r="A60" s="9" t="s">
        <v>115</v>
      </c>
      <c r="B60" s="10" t="s">
        <v>116</v>
      </c>
      <c r="C60" s="11">
        <v>0</v>
      </c>
      <c r="D60" s="11">
        <v>0</v>
      </c>
      <c r="E60" s="11">
        <v>0</v>
      </c>
      <c r="F60" s="16">
        <v>450.14</v>
      </c>
      <c r="G60" s="11">
        <v>0</v>
      </c>
      <c r="H60" s="11">
        <v>0</v>
      </c>
      <c r="I60" s="16">
        <v>0</v>
      </c>
      <c r="J60" s="11">
        <v>0</v>
      </c>
      <c r="K60" s="11">
        <v>0</v>
      </c>
      <c r="L60" s="6"/>
      <c r="M60" s="11">
        <f>C60+F60+I60</f>
        <v>450.14</v>
      </c>
      <c r="N60" s="11">
        <f>D60+G60+J60</f>
        <v>0</v>
      </c>
      <c r="O60" s="11">
        <f t="shared" si="3"/>
        <v>0</v>
      </c>
      <c r="P60" s="12">
        <v>0</v>
      </c>
      <c r="Q60" s="12">
        <v>0.5</v>
      </c>
      <c r="R60" s="12">
        <v>1</v>
      </c>
      <c r="S60" s="8">
        <f t="shared" si="4"/>
        <v>0</v>
      </c>
    </row>
    <row r="61" spans="1:22" ht="42" customHeight="1" x14ac:dyDescent="0.2">
      <c r="A61" s="14" t="s">
        <v>117</v>
      </c>
      <c r="B61" s="15" t="s">
        <v>118</v>
      </c>
      <c r="C61" s="16">
        <v>0</v>
      </c>
      <c r="D61" s="16">
        <v>0</v>
      </c>
      <c r="E61" s="16">
        <v>0</v>
      </c>
      <c r="F61" s="11">
        <v>0</v>
      </c>
      <c r="G61" s="16">
        <v>0</v>
      </c>
      <c r="H61" s="16">
        <v>0</v>
      </c>
      <c r="I61" s="11">
        <v>106038.46</v>
      </c>
      <c r="J61" s="16">
        <v>0</v>
      </c>
      <c r="K61" s="16">
        <v>0</v>
      </c>
      <c r="L61" s="6"/>
      <c r="M61" s="16">
        <f>C61+F61+I61</f>
        <v>106038.46</v>
      </c>
      <c r="N61" s="16">
        <f>D61+G61+J61</f>
        <v>0</v>
      </c>
      <c r="O61" s="16">
        <f t="shared" si="3"/>
        <v>0</v>
      </c>
      <c r="P61" s="17">
        <v>0.5</v>
      </c>
      <c r="Q61" s="17">
        <v>0.5</v>
      </c>
      <c r="R61" s="17">
        <v>0.65</v>
      </c>
      <c r="S61" s="8">
        <f t="shared" si="4"/>
        <v>53019.23</v>
      </c>
    </row>
    <row r="62" spans="1:22" ht="42" customHeight="1" x14ac:dyDescent="0.2">
      <c r="A62" s="9" t="s">
        <v>119</v>
      </c>
      <c r="B62" s="10" t="s">
        <v>120</v>
      </c>
      <c r="C62" s="11">
        <v>0</v>
      </c>
      <c r="D62" s="11">
        <v>0</v>
      </c>
      <c r="E62" s="11">
        <v>0</v>
      </c>
      <c r="F62" s="16">
        <v>0</v>
      </c>
      <c r="G62" s="11">
        <v>0</v>
      </c>
      <c r="H62" s="11">
        <v>0</v>
      </c>
      <c r="I62" s="16">
        <v>0</v>
      </c>
      <c r="J62" s="11">
        <v>0</v>
      </c>
      <c r="K62" s="11">
        <v>0</v>
      </c>
      <c r="L62" s="6"/>
      <c r="M62" s="11">
        <f>C62+F62+I62</f>
        <v>0</v>
      </c>
      <c r="N62" s="11">
        <f>D62+G62+J62</f>
        <v>0</v>
      </c>
      <c r="O62" s="11">
        <f t="shared" si="3"/>
        <v>0</v>
      </c>
      <c r="P62" s="12"/>
      <c r="Q62" s="12"/>
      <c r="R62" s="12">
        <v>0.65</v>
      </c>
      <c r="S62" s="8">
        <f t="shared" si="4"/>
        <v>0</v>
      </c>
    </row>
    <row r="63" spans="1:22" ht="42" customHeight="1" x14ac:dyDescent="0.2">
      <c r="A63" s="14" t="s">
        <v>121</v>
      </c>
      <c r="B63" s="15" t="s">
        <v>122</v>
      </c>
      <c r="C63" s="16">
        <v>0</v>
      </c>
      <c r="D63" s="16">
        <v>0</v>
      </c>
      <c r="E63" s="16">
        <v>0</v>
      </c>
      <c r="F63" s="11">
        <v>0</v>
      </c>
      <c r="G63" s="16">
        <v>0</v>
      </c>
      <c r="H63" s="16">
        <v>0</v>
      </c>
      <c r="I63" s="11">
        <v>0</v>
      </c>
      <c r="J63" s="16">
        <v>0</v>
      </c>
      <c r="K63" s="16">
        <v>0</v>
      </c>
      <c r="L63" s="6"/>
      <c r="M63" s="16">
        <f>C63+F63+I63</f>
        <v>0</v>
      </c>
      <c r="N63" s="16">
        <f>D63+G63+J63</f>
        <v>0</v>
      </c>
      <c r="O63" s="16">
        <f t="shared" si="3"/>
        <v>0</v>
      </c>
      <c r="P63" s="17">
        <v>0.5</v>
      </c>
      <c r="Q63" s="17">
        <v>0.5</v>
      </c>
      <c r="R63" s="17"/>
      <c r="S63" s="8">
        <f t="shared" si="4"/>
        <v>0</v>
      </c>
    </row>
    <row r="64" spans="1:22" ht="18" customHeight="1" x14ac:dyDescent="0.2">
      <c r="A64" s="9" t="s">
        <v>123</v>
      </c>
      <c r="B64" s="10" t="s">
        <v>124</v>
      </c>
      <c r="C64" s="11">
        <v>0</v>
      </c>
      <c r="D64" s="11">
        <v>0</v>
      </c>
      <c r="E64" s="11">
        <v>0</v>
      </c>
      <c r="F64" s="16">
        <v>0</v>
      </c>
      <c r="G64" s="11">
        <v>0</v>
      </c>
      <c r="H64" s="11">
        <v>0</v>
      </c>
      <c r="I64" s="16">
        <v>19426.97</v>
      </c>
      <c r="J64" s="11">
        <v>3682</v>
      </c>
      <c r="K64" s="11">
        <v>0</v>
      </c>
      <c r="L64" s="6"/>
      <c r="M64" s="11">
        <f>C64+F64+I64</f>
        <v>19426.97</v>
      </c>
      <c r="N64" s="11">
        <f>D64+G64+J64</f>
        <v>3682</v>
      </c>
      <c r="O64" s="11">
        <f t="shared" si="3"/>
        <v>0</v>
      </c>
      <c r="P64" s="12">
        <v>0.5</v>
      </c>
      <c r="Q64" s="12">
        <v>0.5</v>
      </c>
      <c r="R64" s="12">
        <v>0</v>
      </c>
      <c r="S64" s="8">
        <f t="shared" si="4"/>
        <v>11554.485000000001</v>
      </c>
    </row>
    <row r="65" spans="1:19" ht="42" customHeight="1" x14ac:dyDescent="0.2">
      <c r="A65" s="14" t="s">
        <v>125</v>
      </c>
      <c r="B65" s="15" t="s">
        <v>126</v>
      </c>
      <c r="C65" s="16">
        <v>0</v>
      </c>
      <c r="D65" s="16">
        <v>0</v>
      </c>
      <c r="E65" s="16">
        <v>0</v>
      </c>
      <c r="F65" s="11">
        <v>13121.94</v>
      </c>
      <c r="G65" s="16">
        <v>0</v>
      </c>
      <c r="H65" s="16">
        <v>299.39999999999998</v>
      </c>
      <c r="I65" s="11">
        <v>-7.16</v>
      </c>
      <c r="J65" s="16">
        <v>0</v>
      </c>
      <c r="K65" s="16">
        <v>617411.12</v>
      </c>
      <c r="L65" s="6"/>
      <c r="M65" s="16">
        <f>C65+F65+I65</f>
        <v>13114.78</v>
      </c>
      <c r="N65" s="16">
        <f>D65+G65+J65</f>
        <v>0</v>
      </c>
      <c r="O65" s="16">
        <f t="shared" si="3"/>
        <v>617710.52</v>
      </c>
      <c r="P65" s="17">
        <v>0.5</v>
      </c>
      <c r="Q65" s="17">
        <v>0.5</v>
      </c>
      <c r="R65" s="17">
        <v>0.85</v>
      </c>
      <c r="S65" s="8">
        <f t="shared" si="4"/>
        <v>531611.33200000005</v>
      </c>
    </row>
    <row r="66" spans="1:19" ht="18" customHeight="1" x14ac:dyDescent="0.2">
      <c r="A66" s="9" t="s">
        <v>127</v>
      </c>
      <c r="B66" s="10" t="s">
        <v>128</v>
      </c>
      <c r="C66" s="11">
        <v>0</v>
      </c>
      <c r="D66" s="11">
        <v>0</v>
      </c>
      <c r="E66" s="11">
        <v>0</v>
      </c>
      <c r="F66" s="16">
        <v>0</v>
      </c>
      <c r="G66" s="11">
        <v>0</v>
      </c>
      <c r="H66" s="11">
        <v>0</v>
      </c>
      <c r="I66" s="16">
        <v>0</v>
      </c>
      <c r="J66" s="11">
        <v>0</v>
      </c>
      <c r="K66" s="11">
        <v>0</v>
      </c>
      <c r="L66" s="6"/>
      <c r="M66" s="11">
        <f>C66+F66+I66</f>
        <v>0</v>
      </c>
      <c r="N66" s="11">
        <f>D66+G66+J66</f>
        <v>0</v>
      </c>
      <c r="O66" s="11">
        <f t="shared" si="3"/>
        <v>0</v>
      </c>
      <c r="P66" s="12"/>
      <c r="Q66" s="12"/>
      <c r="R66" s="12">
        <v>0.85</v>
      </c>
      <c r="S66" s="8">
        <f t="shared" si="4"/>
        <v>0</v>
      </c>
    </row>
    <row r="67" spans="1:19" ht="18" customHeight="1" x14ac:dyDescent="0.2">
      <c r="A67" s="14" t="s">
        <v>129</v>
      </c>
      <c r="B67" s="15" t="s">
        <v>130</v>
      </c>
      <c r="C67" s="16">
        <v>0</v>
      </c>
      <c r="D67" s="16">
        <v>0</v>
      </c>
      <c r="E67" s="16">
        <v>0</v>
      </c>
      <c r="F67" s="11">
        <v>0</v>
      </c>
      <c r="G67" s="16">
        <v>0</v>
      </c>
      <c r="H67" s="16">
        <v>0</v>
      </c>
      <c r="I67" s="11">
        <v>0</v>
      </c>
      <c r="J67" s="16">
        <v>0</v>
      </c>
      <c r="K67" s="16">
        <v>0</v>
      </c>
      <c r="L67" s="6"/>
      <c r="M67" s="16">
        <f>C67+F67+I67</f>
        <v>0</v>
      </c>
      <c r="N67" s="16">
        <f>D67+G67+J67</f>
        <v>0</v>
      </c>
      <c r="O67" s="16">
        <f t="shared" si="3"/>
        <v>0</v>
      </c>
      <c r="P67" s="17">
        <v>0.5</v>
      </c>
      <c r="Q67" s="17">
        <v>0.5</v>
      </c>
      <c r="R67" s="17">
        <v>0.85</v>
      </c>
      <c r="S67" s="8">
        <f t="shared" si="4"/>
        <v>0</v>
      </c>
    </row>
    <row r="68" spans="1:19" ht="18" customHeight="1" x14ac:dyDescent="0.2">
      <c r="A68" s="9" t="s">
        <v>131</v>
      </c>
      <c r="B68" s="10" t="s">
        <v>132</v>
      </c>
      <c r="C68" s="11">
        <v>0</v>
      </c>
      <c r="D68" s="11">
        <v>0</v>
      </c>
      <c r="E68" s="11">
        <v>0</v>
      </c>
      <c r="F68" s="16">
        <v>0</v>
      </c>
      <c r="G68" s="11">
        <v>0</v>
      </c>
      <c r="H68" s="11">
        <v>0</v>
      </c>
      <c r="I68" s="16">
        <v>0</v>
      </c>
      <c r="J68" s="11">
        <v>0</v>
      </c>
      <c r="K68" s="11">
        <v>0</v>
      </c>
      <c r="L68" s="6"/>
      <c r="M68" s="11">
        <f>C68+F68+I68</f>
        <v>0</v>
      </c>
      <c r="N68" s="11">
        <f>D68+G68+J68</f>
        <v>0</v>
      </c>
      <c r="O68" s="11">
        <f t="shared" si="3"/>
        <v>0</v>
      </c>
      <c r="P68" s="12"/>
      <c r="Q68" s="12"/>
      <c r="R68" s="12">
        <v>0.85</v>
      </c>
      <c r="S68" s="8">
        <f t="shared" si="4"/>
        <v>0</v>
      </c>
    </row>
    <row r="69" spans="1:19" ht="18" customHeight="1" x14ac:dyDescent="0.2">
      <c r="A69" s="14" t="s">
        <v>133</v>
      </c>
      <c r="B69" s="24" t="s">
        <v>134</v>
      </c>
      <c r="C69" s="16">
        <v>0</v>
      </c>
      <c r="D69" s="16">
        <v>0</v>
      </c>
      <c r="E69" s="16">
        <v>0</v>
      </c>
      <c r="F69" s="11">
        <v>0</v>
      </c>
      <c r="G69" s="16">
        <v>0</v>
      </c>
      <c r="H69" s="16">
        <v>0</v>
      </c>
      <c r="I69" s="11">
        <v>0</v>
      </c>
      <c r="J69" s="16">
        <v>0</v>
      </c>
      <c r="K69" s="16">
        <v>0</v>
      </c>
      <c r="L69" s="6"/>
      <c r="M69" s="16">
        <f>C69+F69+I69</f>
        <v>0</v>
      </c>
      <c r="N69" s="16">
        <f>D69+G69+J69</f>
        <v>0</v>
      </c>
      <c r="O69" s="16">
        <f t="shared" si="3"/>
        <v>0</v>
      </c>
      <c r="P69" s="17"/>
      <c r="Q69" s="17"/>
      <c r="R69" s="17">
        <v>1</v>
      </c>
      <c r="S69" s="8">
        <f t="shared" si="4"/>
        <v>0</v>
      </c>
    </row>
    <row r="70" spans="1:19" ht="18" customHeight="1" x14ac:dyDescent="0.2">
      <c r="A70" s="9"/>
      <c r="B70" s="24" t="s">
        <v>135</v>
      </c>
      <c r="C70" s="11">
        <v>0</v>
      </c>
      <c r="D70" s="11">
        <v>0</v>
      </c>
      <c r="E70" s="11">
        <v>0</v>
      </c>
      <c r="F70" s="16">
        <v>0</v>
      </c>
      <c r="G70" s="11">
        <v>0</v>
      </c>
      <c r="H70" s="11">
        <v>3.76</v>
      </c>
      <c r="I70" s="16">
        <v>0</v>
      </c>
      <c r="J70" s="11">
        <v>0</v>
      </c>
      <c r="K70" s="11">
        <v>0</v>
      </c>
      <c r="L70" s="6"/>
      <c r="M70" s="11">
        <f>C70+F70+I70</f>
        <v>0</v>
      </c>
      <c r="N70" s="11">
        <f>D70+G70+J70</f>
        <v>0</v>
      </c>
      <c r="O70" s="11">
        <f t="shared" si="3"/>
        <v>3.76</v>
      </c>
      <c r="P70" s="12"/>
      <c r="Q70" s="12"/>
      <c r="R70" s="12">
        <v>1</v>
      </c>
      <c r="S70" s="8">
        <f t="shared" si="4"/>
        <v>3.76</v>
      </c>
    </row>
    <row r="71" spans="1:19" ht="18" customHeight="1" x14ac:dyDescent="0.2">
      <c r="A71" s="14" t="s">
        <v>136</v>
      </c>
      <c r="B71" s="15" t="s">
        <v>137</v>
      </c>
      <c r="C71" s="16">
        <v>0</v>
      </c>
      <c r="D71" s="16">
        <v>0</v>
      </c>
      <c r="E71" s="16">
        <v>0</v>
      </c>
      <c r="F71" s="11">
        <v>0</v>
      </c>
      <c r="G71" s="16">
        <v>0</v>
      </c>
      <c r="H71" s="16">
        <v>0</v>
      </c>
      <c r="I71" s="11">
        <v>11762.45</v>
      </c>
      <c r="J71" s="16">
        <v>0</v>
      </c>
      <c r="K71" s="16">
        <v>0</v>
      </c>
      <c r="L71" s="6"/>
      <c r="M71" s="16">
        <f>C71+F71+I71</f>
        <v>11762.45</v>
      </c>
      <c r="N71" s="16">
        <f>D71+G71+J71</f>
        <v>0</v>
      </c>
      <c r="O71" s="16">
        <f t="shared" si="3"/>
        <v>0</v>
      </c>
      <c r="P71" s="17">
        <v>1</v>
      </c>
      <c r="Q71" s="17">
        <v>1</v>
      </c>
      <c r="R71" s="17">
        <v>1</v>
      </c>
      <c r="S71" s="8">
        <f t="shared" si="4"/>
        <v>11762.45</v>
      </c>
    </row>
    <row r="72" spans="1:19" ht="42" customHeight="1" x14ac:dyDescent="0.2">
      <c r="A72" s="9" t="s">
        <v>138</v>
      </c>
      <c r="B72" s="10" t="s">
        <v>139</v>
      </c>
      <c r="C72" s="11">
        <v>0</v>
      </c>
      <c r="D72" s="11">
        <v>0</v>
      </c>
      <c r="E72" s="11">
        <v>0</v>
      </c>
      <c r="F72" s="16">
        <v>0</v>
      </c>
      <c r="G72" s="11">
        <v>0</v>
      </c>
      <c r="H72" s="11">
        <v>0</v>
      </c>
      <c r="I72" s="16">
        <v>0</v>
      </c>
      <c r="J72" s="11">
        <v>0</v>
      </c>
      <c r="K72" s="11">
        <v>0</v>
      </c>
      <c r="L72" s="6"/>
      <c r="M72" s="11">
        <f>C72+F72+I72</f>
        <v>0</v>
      </c>
      <c r="N72" s="11">
        <f>D72+G72+J72</f>
        <v>0</v>
      </c>
      <c r="O72" s="11">
        <f t="shared" si="3"/>
        <v>0</v>
      </c>
      <c r="P72" s="12"/>
      <c r="Q72" s="12"/>
      <c r="R72" s="12">
        <v>1</v>
      </c>
      <c r="S72" s="8">
        <f t="shared" si="4"/>
        <v>0</v>
      </c>
    </row>
    <row r="73" spans="1:19" ht="18" customHeight="1" x14ac:dyDescent="0.2">
      <c r="A73" s="14" t="s">
        <v>140</v>
      </c>
      <c r="B73" s="15" t="s">
        <v>141</v>
      </c>
      <c r="C73" s="16">
        <v>0</v>
      </c>
      <c r="D73" s="16">
        <v>0</v>
      </c>
      <c r="E73" s="16">
        <v>0</v>
      </c>
      <c r="F73" s="11">
        <v>0</v>
      </c>
      <c r="G73" s="16">
        <v>0</v>
      </c>
      <c r="H73" s="16">
        <v>0</v>
      </c>
      <c r="I73" s="11">
        <v>0</v>
      </c>
      <c r="J73" s="16">
        <v>0</v>
      </c>
      <c r="K73" s="16">
        <v>3509.13</v>
      </c>
      <c r="L73" s="6"/>
      <c r="M73" s="16">
        <f>C73+F73+I73</f>
        <v>0</v>
      </c>
      <c r="N73" s="16">
        <f>D73+G73+J73</f>
        <v>0</v>
      </c>
      <c r="O73" s="16">
        <f t="shared" si="3"/>
        <v>3509.13</v>
      </c>
      <c r="P73" s="17"/>
      <c r="Q73" s="17"/>
      <c r="R73" s="17">
        <v>1</v>
      </c>
      <c r="S73" s="8">
        <f t="shared" si="4"/>
        <v>3509.13</v>
      </c>
    </row>
    <row r="74" spans="1:19" ht="18" customHeight="1" x14ac:dyDescent="0.2">
      <c r="A74" s="19"/>
      <c r="C74" s="21"/>
      <c r="D74" s="21"/>
      <c r="E74" s="21"/>
      <c r="F74" s="16"/>
      <c r="G74" s="21"/>
      <c r="H74" s="21"/>
      <c r="I74" s="16"/>
      <c r="J74" s="21"/>
      <c r="K74" s="21"/>
      <c r="L74" s="6"/>
      <c r="M74" s="55" t="s">
        <v>86</v>
      </c>
      <c r="N74" s="56"/>
      <c r="O74" s="21">
        <v>1982928</v>
      </c>
      <c r="P74" s="25"/>
      <c r="Q74" s="25"/>
      <c r="R74" s="25"/>
      <c r="S74" s="26">
        <f>SUM(S47:S73)</f>
        <v>891442.81650000007</v>
      </c>
    </row>
    <row r="75" spans="1:19" ht="18" customHeight="1" x14ac:dyDescent="0.2">
      <c r="A75" s="19" t="s">
        <v>142</v>
      </c>
      <c r="B75" s="20" t="s">
        <v>143</v>
      </c>
      <c r="C75" s="21"/>
      <c r="D75" s="21"/>
      <c r="E75" s="21"/>
      <c r="F75" s="21"/>
      <c r="G75" s="21"/>
      <c r="H75" s="21"/>
      <c r="I75" s="21"/>
      <c r="J75" s="21"/>
      <c r="K75" s="21"/>
      <c r="L75" s="6"/>
      <c r="M75" s="21">
        <f>C75+F75+I75</f>
        <v>0</v>
      </c>
      <c r="N75" s="21">
        <f>D75+G75+J75</f>
        <v>0</v>
      </c>
      <c r="O75" s="21">
        <f t="shared" ref="O75:O79" si="5">E75+H75+K75</f>
        <v>0</v>
      </c>
      <c r="P75" s="22"/>
      <c r="Q75" s="22"/>
      <c r="R75" s="22"/>
      <c r="S75" s="23"/>
    </row>
    <row r="76" spans="1:19" ht="18" customHeight="1" x14ac:dyDescent="0.2">
      <c r="A76" s="9" t="s">
        <v>144</v>
      </c>
      <c r="B76" s="10" t="s">
        <v>145</v>
      </c>
      <c r="C76" s="11"/>
      <c r="D76" s="11"/>
      <c r="E76" s="11"/>
      <c r="F76" s="11"/>
      <c r="G76" s="11"/>
      <c r="H76" s="11"/>
      <c r="I76" s="11">
        <v>62207.02</v>
      </c>
      <c r="J76" s="11"/>
      <c r="K76" s="11"/>
      <c r="L76" s="6"/>
      <c r="M76" s="11">
        <f>C76+F76+I76</f>
        <v>62207.02</v>
      </c>
      <c r="N76" s="11">
        <f>D76+G76+J76</f>
        <v>0</v>
      </c>
      <c r="O76" s="11">
        <f t="shared" si="5"/>
        <v>0</v>
      </c>
      <c r="P76" s="12"/>
      <c r="Q76" s="12"/>
      <c r="R76" s="12">
        <v>0.05</v>
      </c>
      <c r="S76" s="13">
        <f>M76*R76</f>
        <v>3110.3510000000001</v>
      </c>
    </row>
    <row r="77" spans="1:19" ht="18" customHeight="1" x14ac:dyDescent="0.2">
      <c r="A77" s="14" t="s">
        <v>146</v>
      </c>
      <c r="B77" s="15" t="s">
        <v>147</v>
      </c>
      <c r="C77" s="16"/>
      <c r="D77" s="16"/>
      <c r="E77" s="16"/>
      <c r="F77" s="16"/>
      <c r="G77" s="16"/>
      <c r="H77" s="16"/>
      <c r="I77" s="16">
        <v>1040590.03</v>
      </c>
      <c r="J77" s="16"/>
      <c r="K77" s="16"/>
      <c r="L77" s="6"/>
      <c r="M77" s="47">
        <f>C77+F77+I77</f>
        <v>1040590.03</v>
      </c>
      <c r="N77" s="47">
        <f>D77+G77+J77</f>
        <v>0</v>
      </c>
      <c r="O77" s="47">
        <f t="shared" si="5"/>
        <v>0</v>
      </c>
      <c r="P77" s="17"/>
      <c r="Q77" s="17"/>
      <c r="R77" s="17">
        <v>0.05</v>
      </c>
      <c r="S77" s="13">
        <f t="shared" ref="S77:S79" si="6">M77*R77</f>
        <v>52029.501500000006</v>
      </c>
    </row>
    <row r="78" spans="1:19" ht="18" customHeight="1" x14ac:dyDescent="0.2">
      <c r="A78" s="9" t="s">
        <v>148</v>
      </c>
      <c r="B78" s="10" t="s">
        <v>149</v>
      </c>
      <c r="C78" s="11"/>
      <c r="D78" s="11"/>
      <c r="E78" s="11"/>
      <c r="F78" s="11"/>
      <c r="G78" s="11"/>
      <c r="H78" s="11"/>
      <c r="I78" s="11">
        <v>54379.33</v>
      </c>
      <c r="J78" s="11"/>
      <c r="K78" s="11"/>
      <c r="L78" s="6"/>
      <c r="M78" s="51">
        <f>C78+F78+I78</f>
        <v>54379.33</v>
      </c>
      <c r="N78" s="51">
        <f>D78+G78+J78</f>
        <v>0</v>
      </c>
      <c r="O78" s="51">
        <f t="shared" si="5"/>
        <v>0</v>
      </c>
      <c r="P78" s="50"/>
      <c r="Q78" s="12"/>
      <c r="R78" s="12">
        <v>0.05</v>
      </c>
      <c r="S78" s="13">
        <f t="shared" si="6"/>
        <v>2718.9665000000005</v>
      </c>
    </row>
    <row r="79" spans="1:19" ht="18" customHeight="1" x14ac:dyDescent="0.2">
      <c r="A79" s="14" t="s">
        <v>150</v>
      </c>
      <c r="B79" s="15" t="s">
        <v>151</v>
      </c>
      <c r="C79" s="16"/>
      <c r="D79" s="16"/>
      <c r="E79" s="16"/>
      <c r="F79" s="16"/>
      <c r="G79" s="16"/>
      <c r="H79" s="16"/>
      <c r="I79" s="16">
        <v>1093229.3</v>
      </c>
      <c r="J79" s="16"/>
      <c r="K79" s="16"/>
      <c r="L79" s="6"/>
      <c r="M79" s="52">
        <f>C79+F79+I79</f>
        <v>1093229.3</v>
      </c>
      <c r="N79" s="52">
        <f>D79+G79+J79</f>
        <v>0</v>
      </c>
      <c r="O79" s="52">
        <f t="shared" si="5"/>
        <v>0</v>
      </c>
      <c r="P79" s="49"/>
      <c r="Q79" s="17"/>
      <c r="R79" s="17">
        <v>0.05</v>
      </c>
      <c r="S79" s="13">
        <f t="shared" si="6"/>
        <v>54661.465000000004</v>
      </c>
    </row>
    <row r="80" spans="1:19" ht="18" customHeight="1" x14ac:dyDescent="0.2">
      <c r="A80" s="27"/>
      <c r="B80" s="28"/>
      <c r="C80" s="29"/>
      <c r="D80" s="29"/>
      <c r="E80" s="29"/>
      <c r="F80" s="29"/>
      <c r="G80" s="29"/>
      <c r="H80" s="29"/>
      <c r="I80" s="29"/>
      <c r="J80" s="29"/>
      <c r="K80" s="29"/>
      <c r="L80" s="6"/>
      <c r="M80" s="48"/>
      <c r="N80" s="48"/>
      <c r="O80" s="48"/>
      <c r="P80" s="45"/>
      <c r="Q80" s="30"/>
      <c r="R80" s="30"/>
      <c r="S80" s="26">
        <f>SUM(S74:S79)</f>
        <v>1003963.1005000001</v>
      </c>
    </row>
    <row r="81" spans="1:19" ht="18" customHeight="1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2"/>
      <c r="M81" s="36"/>
      <c r="N81" s="36"/>
      <c r="O81" s="36"/>
      <c r="P81" s="46"/>
      <c r="Q81" s="1"/>
      <c r="R81" s="1"/>
      <c r="S81" s="1"/>
    </row>
    <row r="82" spans="1:19" ht="30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2"/>
      <c r="M82" s="44" t="s">
        <v>152</v>
      </c>
      <c r="N82" s="44"/>
      <c r="O82" s="44"/>
      <c r="P82" s="31"/>
      <c r="Q82" s="31"/>
      <c r="R82" s="31"/>
      <c r="S82" s="32">
        <f>P44</f>
        <v>1434192.5420000004</v>
      </c>
    </row>
    <row r="83" spans="1:19" ht="30" x14ac:dyDescent="0.2">
      <c r="A83" s="36"/>
      <c r="B83" s="36"/>
      <c r="C83" s="80"/>
      <c r="D83" s="80"/>
      <c r="E83" s="36"/>
      <c r="F83" s="80"/>
      <c r="G83" s="36"/>
      <c r="H83" s="80"/>
      <c r="I83" s="80"/>
      <c r="J83" s="36"/>
      <c r="K83" s="36"/>
      <c r="L83" s="2"/>
      <c r="M83" s="31" t="s">
        <v>153</v>
      </c>
      <c r="N83" s="31"/>
      <c r="O83" s="31"/>
      <c r="P83" s="31"/>
      <c r="Q83" s="31"/>
      <c r="R83" s="31"/>
      <c r="S83" s="32">
        <f>S80</f>
        <v>1003963.1005000001</v>
      </c>
    </row>
    <row r="84" spans="1:19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2"/>
      <c r="M84" s="42" t="s">
        <v>154</v>
      </c>
      <c r="N84" s="42"/>
      <c r="O84" s="42"/>
      <c r="P84" s="42"/>
      <c r="Q84" s="42"/>
      <c r="R84" s="42"/>
      <c r="S84" s="43">
        <f>S82/S83</f>
        <v>1.4285311295661511</v>
      </c>
    </row>
    <row r="85" spans="1:19" ht="18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2"/>
      <c r="M85" s="36"/>
      <c r="N85" s="36"/>
      <c r="O85" s="36"/>
      <c r="P85" s="36"/>
      <c r="Q85" s="36"/>
      <c r="R85" s="36"/>
      <c r="S85" s="36"/>
    </row>
    <row r="86" spans="1:19" ht="18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2"/>
      <c r="M86" s="36"/>
      <c r="N86" s="36"/>
      <c r="O86" s="36"/>
      <c r="P86" s="36"/>
      <c r="Q86" s="36"/>
      <c r="R86" s="36"/>
      <c r="S86" s="36"/>
    </row>
    <row r="87" spans="1:19" ht="18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2"/>
      <c r="M87" s="36"/>
      <c r="N87" s="36"/>
      <c r="O87" s="36"/>
      <c r="P87" s="36"/>
      <c r="Q87" s="36"/>
      <c r="R87" s="36"/>
      <c r="S87" s="36"/>
    </row>
    <row r="88" spans="1:19" ht="18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2"/>
      <c r="M88" s="36"/>
      <c r="N88" s="36"/>
      <c r="O88" s="36"/>
      <c r="P88" s="36"/>
      <c r="Q88" s="36"/>
      <c r="R88" s="36"/>
      <c r="S88" s="36"/>
    </row>
    <row r="89" spans="1:19" ht="18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2"/>
      <c r="M89" s="36"/>
      <c r="N89" s="36"/>
      <c r="O89" s="36"/>
      <c r="P89" s="36"/>
      <c r="Q89" s="36"/>
      <c r="R89" s="36"/>
      <c r="S89" s="36"/>
    </row>
    <row r="90" spans="1:19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</sheetData>
  <mergeCells count="16">
    <mergeCell ref="M74:N74"/>
    <mergeCell ref="A3:B4"/>
    <mergeCell ref="M44:N44"/>
    <mergeCell ref="P44:S44"/>
    <mergeCell ref="C45:E45"/>
    <mergeCell ref="F45:H45"/>
    <mergeCell ref="I45:K45"/>
    <mergeCell ref="M45:O45"/>
    <mergeCell ref="M3:O3"/>
    <mergeCell ref="C3:E3"/>
    <mergeCell ref="S3:S4"/>
    <mergeCell ref="P45:R45"/>
    <mergeCell ref="I3:K3"/>
    <mergeCell ref="F3:H3"/>
    <mergeCell ref="P3:R3"/>
    <mergeCell ref="S45:S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Moayyad Yaghi</cp:lastModifiedBy>
  <dcterms:created xsi:type="dcterms:W3CDTF">2026-06-15T16:19:26Z</dcterms:created>
  <dcterms:modified xsi:type="dcterms:W3CDTF">2026-06-17T11:09:23Z</dcterms:modified>
</cp:coreProperties>
</file>